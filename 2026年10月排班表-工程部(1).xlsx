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7945" windowHeight="12375" firstSheet="1" activeTab="0"/>
  </bookViews>
  <sheets>
    <sheet name="工程10" sheetId="11" r:id="rId1"/>
    <sheet name="夜班排班表 10" sheetId="12" r:id="rId2"/>
  </sheets>
  <definedNames>
    <definedName name="_xlnm._FilterDatabase" localSheetId="0" hidden="1">工程10!$A$3:$AZ$28</definedName>
    <definedName name="_xlnm._FilterDatabase" localSheetId="0" hidden="1">工程10!$A$3:$AZ$28</definedName>
  </definedNames>
  <calcPr calcId="191029"/>
</workbook>
</file>

<file path=xl/comments1.xml><?xml version="1.0" encoding="utf-8"?>
<comments xmlns="http://schemas.openxmlformats.org/spreadsheetml/2006/main">
  <authors>
    <author>bl-zeng</author>
  </authors>
  <commentList>
    <comment ref="AR4" authorId="0">
      <text>
        <r>
          <rPr>
            <b/>
            <sz val="12"/>
            <rFont val="宋体"/>
            <charset val="134"/>
          </rPr>
          <t xml:space="preserve">2026.5加4</t>
        </r>
        <r>
          <rPr>
            <sz val="12"/>
            <rFont val="宋体"/>
            <charset val="134"/>
          </rPr>
          <t xml:space="preserve">
2026.6加1
2026.10加2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<sst xmlns="http://schemas.openxmlformats.org/spreadsheetml/2006/main" uniqueCount="72" count="72">
  <si>
    <r>
      <rPr>
        <b/>
        <charset val="134"/>
        <sz val="16"/>
        <rFont val="微软雅黑"/>
      </rPr>
      <t>阳江百利广场</t>
    </r>
    <r>
      <rPr>
        <b/>
        <charset val="134"/>
        <u/>
        <sz val="16"/>
        <rFont val="微软雅黑"/>
      </rPr>
      <t xml:space="preserve">  工程  </t>
    </r>
    <r>
      <rPr>
        <b/>
        <charset val="134"/>
        <sz val="16"/>
        <rFont val="微软雅黑"/>
      </rPr>
      <t>部 2026年10月份 排班表</t>
    </r>
  </si>
  <si>
    <t>序号</t>
  </si>
  <si>
    <t>姓名</t>
  </si>
  <si>
    <t>职务</t>
  </si>
  <si>
    <t>当 月 应 出 勤</t>
  </si>
  <si>
    <t>实 际 出 勤</t>
  </si>
  <si>
    <t>当月例休</t>
  </si>
  <si>
    <t>当月法定</t>
  </si>
  <si>
    <t>非例休假别</t>
  </si>
  <si>
    <t>当
月
共
休</t>
  </si>
  <si>
    <t>2025年积
假</t>
  </si>
  <si>
    <t>2025年年
假</t>
  </si>
  <si>
    <t>2026
年
年
假</t>
  </si>
  <si>
    <t>2026
年
积假</t>
  </si>
  <si>
    <t>余假累计</t>
  </si>
  <si>
    <t>四</t>
  </si>
  <si>
    <t>五</t>
  </si>
  <si>
    <t>六</t>
  </si>
  <si>
    <t>日</t>
  </si>
  <si>
    <t>一</t>
  </si>
  <si>
    <t>二</t>
  </si>
  <si>
    <t>三</t>
  </si>
  <si>
    <t>休</t>
  </si>
  <si>
    <t>E</t>
  </si>
  <si>
    <t>A</t>
  </si>
  <si>
    <t>B</t>
  </si>
  <si>
    <t>C</t>
  </si>
  <si>
    <t>Z</t>
  </si>
  <si>
    <t>实际出勤</t>
  </si>
  <si>
    <t>李清</t>
  </si>
  <si>
    <t>总监</t>
  </si>
  <si>
    <t>冯高瑞</t>
  </si>
  <si>
    <t>经理</t>
  </si>
  <si>
    <t>黄书东</t>
  </si>
  <si>
    <t>主管</t>
  </si>
  <si>
    <t>王二开</t>
  </si>
  <si>
    <t>蔡福强</t>
  </si>
  <si>
    <t>领班</t>
  </si>
  <si>
    <t>黄志远</t>
  </si>
  <si>
    <t>维修组</t>
  </si>
  <si>
    <t>谢冲记</t>
  </si>
  <si>
    <t>陈华坤</t>
  </si>
  <si>
    <t>年</t>
  </si>
  <si>
    <t>曾健明</t>
  </si>
  <si>
    <t>莫益明</t>
  </si>
  <si>
    <t>林进富</t>
  </si>
  <si>
    <t>苏展翅</t>
  </si>
  <si>
    <t>林坚韧</t>
  </si>
  <si>
    <t>刘颖</t>
  </si>
  <si>
    <t>运行组</t>
  </si>
  <si>
    <t>罗定健</t>
  </si>
  <si>
    <t>许劲</t>
  </si>
  <si>
    <t>黄代福</t>
  </si>
  <si>
    <t>韦冠丞</t>
  </si>
  <si>
    <t>曾昭泮</t>
  </si>
  <si>
    <t>关宇帆</t>
  </si>
  <si>
    <t>林高效</t>
  </si>
  <si>
    <t xml:space="preserve">填写说明：①【非例休假别：  旷工：旷   事假：事   病假：病   年假：年   补休: 补休    调休：调休 婚假：婚假  产假：产假等】 例休：休  加班：加   离职：离      且法定假日当列标红                                                         ②当月共休=当月天数-实际出勤       ③当月应出勤=当月天数-例休-法定假日      ④余假=2025年积假+2025年年假+2026年年假+2026年积假-非例休假别     ⑤当月例休/法定=应休天数  ，非例休假别=实休天数                                      ⑥休假类型+班次+0.5上/下=休上半天或下半天                             </t>
  </si>
  <si>
    <t xml:space="preserve">班次：A-Z         A班：8:00-16:00          B班：15:30-23:30       C班：23:30-8:00        E班：行政班  9:30-12:00  14:00-18:00      Z班： 23:30-8:00 </t>
  </si>
  <si>
    <t>特别事项：李清10月1日、2日加班积假2天。李清10月3-7日例休于广西。谢冲记2026年12月积假到期，剩余4天。许劲2026年12月积假到期，剩余1天。罗定健10月份产生年假10天。</t>
  </si>
  <si>
    <t xml:space="preserve">制表：冯高瑞                         部门负责人：                                           人力行政部审核：                                        董事办审批：  </t>
  </si>
  <si>
    <r>
      <rPr>
        <b/>
        <charset val="134"/>
        <sz val="16"/>
        <color rgb="FF000000"/>
        <rFont val="微软雅黑"/>
      </rPr>
      <t>阳江百利广场</t>
    </r>
    <r>
      <rPr>
        <b/>
        <charset val="134"/>
        <u/>
        <sz val="16"/>
        <color rgb="FF000000"/>
        <rFont val="微软雅黑"/>
      </rPr>
      <t>夜班经理</t>
    </r>
    <r>
      <rPr>
        <b/>
        <charset val="134"/>
        <sz val="16"/>
        <color rgb="FF000000"/>
        <rFont val="微软雅黑"/>
      </rPr>
      <t>2026年10月份排班表</t>
    </r>
  </si>
  <si>
    <r>
      <rPr>
        <b/>
        <charset val="134"/>
        <sz val="12"/>
        <rFont val="微软雅黑"/>
      </rPr>
      <t xml:space="preserve">阳江百利广场 </t>
    </r>
    <r>
      <rPr>
        <b/>
        <charset val="134"/>
        <u/>
        <sz val="16"/>
        <rFont val="微软雅黑"/>
      </rPr>
      <t xml:space="preserve">        </t>
    </r>
    <r>
      <rPr>
        <b/>
        <charset val="134"/>
        <sz val="16"/>
        <rFont val="微软雅黑"/>
      </rPr>
      <t>部 2026年1 月份 排班表</t>
    </r>
  </si>
  <si>
    <t>序</t>
  </si>
  <si>
    <t>部门</t>
  </si>
  <si>
    <t>工程部</t>
  </si>
  <si>
    <t>安管部</t>
  </si>
  <si>
    <t>李英江</t>
  </si>
  <si>
    <t xml:space="preserve">填写说明：①旷工：旷   事假：事   病假：病   年假：年   补休: 补休   例休：休   调休：调休   加班：加   离职：离      且法定假日当列标红                                                                                                                                             </t>
  </si>
  <si>
    <t xml:space="preserve">班次：Z    Z班：23:30-08:00   </t>
  </si>
  <si>
    <r>
      <rPr>
        <b/>
        <charset val="134"/>
        <sz val="12"/>
        <rFont val="微软雅黑"/>
      </rPr>
      <t xml:space="preserve">填写说明：①旷工：旷   事假：事   病假：病   年假：年   补休: 补休   例休：休   调休：调休   加班：加   离职：离      且法定假日当列标红        </t>
    </r>
    <r>
      <rPr>
        <b/>
        <charset val="134"/>
        <sz val="11"/>
        <color rgb="FFFF0000"/>
        <rFont val="微软雅黑"/>
      </rPr>
      <t xml:space="preserve"> ②当月共休=当月天数-实际出勤</t>
    </r>
    <r>
      <rPr>
        <b/>
        <charset val="134"/>
        <sz val="11"/>
        <rFont val="微软雅黑"/>
      </rPr>
      <t xml:space="preserve">                                                                                                                                    ③当月应出勤=当月天数-例休-法定假日      </t>
    </r>
    <r>
      <rPr>
        <b/>
        <charset val="134"/>
        <sz val="11"/>
        <color rgb="FFFF0000"/>
        <rFont val="微软雅黑"/>
      </rPr>
      <t xml:space="preserve">④余假=2025年积假+2025年年假+2026年年假+2026年积假-当月补休     ⑤当月例休/法定=应休天数   ⑥休假类型+0.5上/下=休上半天或下半天 </t>
    </r>
  </si>
  <si>
    <t xml:space="preserve">制表：冯高瑞                      部门负责人：                                           人力行政部审核：                                        董事办审批：  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</si>
</sst>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_ "/>
  </numFmts>
  <fonts count="16">
    <font>
      <name val="宋体"/>
      <sz val="11"/>
    </font>
    <font>
      <name val="微软雅黑"/>
      <b/>
      <charset val="134"/>
      <sz val="11"/>
    </font>
    <font>
      <name val="微软雅黑"/>
      <b/>
      <charset val="134"/>
      <sz val="11"/>
      <color rgb="FFFF0000"/>
    </font>
    <font>
      <name val="微软雅黑"/>
      <b/>
      <charset val="134"/>
      <sz val="16"/>
    </font>
    <font>
      <name val="微软雅黑"/>
      <b/>
      <charset val="134"/>
      <sz val="16"/>
      <color rgb="FFFF0000"/>
    </font>
    <font>
      <name val="微软雅黑"/>
      <b/>
      <charset val="134"/>
      <sz val="11"/>
      <color rgb="FF000000"/>
    </font>
    <font>
      <name val="微软雅黑"/>
      <b/>
      <charset val="1"/>
      <sz val="11"/>
    </font>
    <font>
      <name val="微软雅黑"/>
      <b/>
      <charset val="1"/>
      <sz val="11"/>
      <color rgb="FFFF0000"/>
    </font>
    <font>
      <name val="微软雅黑"/>
      <b/>
      <charset val="134"/>
      <sz val="12"/>
      <color rgb="FF000000"/>
    </font>
    <font>
      <name val="微软雅黑"/>
      <b/>
      <charset val="134"/>
      <sz val="16"/>
      <color rgb="FF000000"/>
    </font>
    <font>
      <name val="微软雅黑"/>
      <b/>
      <charset val="134"/>
      <sz val="12"/>
    </font>
    <font>
      <name val="仿宋"/>
      <b/>
      <charset val="1"/>
      <sz val="12"/>
    </font>
    <font>
      <name val="微软雅黑"/>
      <b/>
      <charset val="1"/>
      <sz val="12"/>
    </font>
    <font>
      <name val="仿宋"/>
      <b/>
      <charset val="1"/>
      <sz val="12"/>
      <color rgb="FFFF0000"/>
    </font>
    <font>
      <name val="宋体"/>
      <b/>
      <charset val="1"/>
      <sz val="12"/>
    </font>
    <font>
      <name val="宋体"/>
      <charset val="134"/>
      <sz val="11"/>
      <color indexed="17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5" fillId="3" borderId="0">
      <alignment vertical="bottom"/>
      <protection locked="0" hidden="0"/>
    </xf>
  </cellStyleXfs>
  <cellXfs count="6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6" fillId="0" borderId="1" xfId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6" fillId="0" borderId="1" xfId="1" applyNumberFormat="1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5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2" fillId="0" borderId="9" xfId="1" applyNumberFormat="1" applyFont="1" applyFill="1" applyBorder="1" applyAlignment="1">
      <alignment horizontal="center" vertical="center"/>
    </xf>
    <xf numFmtId="0" fontId="1" fillId="0" borderId="10" xfId="1" applyNumberFormat="1" applyFont="1" applyFill="1" applyBorder="1" applyAlignment="1">
      <alignment horizontal="center" vertical="center"/>
    </xf>
    <xf numFmtId="0" fontId="1" fillId="0" borderId="9" xfId="1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1" fillId="0" borderId="1" xfId="1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2" fillId="2" borderId="1" xfId="1" applyNumberFormat="1" applyFont="1" applyFill="1" applyBorder="1" applyAlignment="1">
      <alignment horizontal="center" vertical="center"/>
    </xf>
    <xf numFmtId="0" fontId="13" fillId="0" borderId="1" xfId="1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</cellXfs>
  <cellStyles count="2">
    <cellStyle name="常规" xfId="0" builtinId="0"/>
    <cellStyle name="好 2 2" xfId="1"/>
  </cellStyles>
  <dxfs count="4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A28"/>
  <sheetViews>
    <sheetView tabSelected="1" workbookViewId="0" topLeftCell="F2" zoomScale="77">
      <selection activeCell="L20" sqref="L20"/>
    </sheetView>
  </sheetViews>
  <sheetFormatPr defaultRowHeight="15.0" defaultColWidth="9"/>
  <cols>
    <col min="1" max="1" customWidth="1" width="3.765625" style="1"/>
    <col min="2" max="2" customWidth="1" width="7.890625" style="1"/>
    <col min="3" max="3" customWidth="1" width="9.875" style="2"/>
    <col min="4" max="6" customWidth="1" width="3.625" style="3"/>
    <col min="7" max="30" customWidth="1" width="3.625" style="1"/>
    <col min="31" max="34" customWidth="1" width="3.8554688" style="1"/>
    <col min="35" max="45" customWidth="1" width="3.625" style="1"/>
    <col min="46" max="52" hidden="1" customWidth="1" width="9.0" style="1"/>
    <col min="53" max="16384" customWidth="0" width="9.0" style="1"/>
  </cols>
  <sheetData>
    <row r="1" spans="8:8" ht="30.0" customHeight="1">
      <c r="A1" s="4" t="s">
        <v>0</v>
      </c>
      <c r="B1" s="4"/>
      <c r="C1" s="5"/>
      <c r="D1" s="6"/>
      <c r="E1" s="6"/>
      <c r="F1" s="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7"/>
      <c r="AJ1" s="7"/>
      <c r="AK1" s="7"/>
      <c r="AL1" s="7"/>
      <c r="AM1" s="7"/>
      <c r="AN1" s="7"/>
      <c r="AO1" s="7"/>
      <c r="AP1" s="7"/>
      <c r="AQ1" s="7"/>
      <c r="AR1" s="7"/>
      <c r="AS1" s="8"/>
    </row>
    <row r="2" spans="8:8" ht="45.0" customHeight="1">
      <c r="A2" s="9" t="s">
        <v>1</v>
      </c>
      <c r="B2" s="10" t="s">
        <v>2</v>
      </c>
      <c r="C2" s="9" t="s">
        <v>3</v>
      </c>
      <c r="D2" s="11">
        <v>1.0</v>
      </c>
      <c r="E2" s="11">
        <v>2.0</v>
      </c>
      <c r="F2" s="11">
        <v>3.0</v>
      </c>
      <c r="G2" s="10">
        <v>4.0</v>
      </c>
      <c r="H2" s="10">
        <v>5.0</v>
      </c>
      <c r="I2" s="10">
        <v>6.0</v>
      </c>
      <c r="J2" s="10">
        <v>7.0</v>
      </c>
      <c r="K2" s="10">
        <v>8.0</v>
      </c>
      <c r="L2" s="10">
        <v>9.0</v>
      </c>
      <c r="M2" s="10">
        <v>10.0</v>
      </c>
      <c r="N2" s="10">
        <v>11.0</v>
      </c>
      <c r="O2" s="10">
        <v>12.0</v>
      </c>
      <c r="P2" s="10">
        <v>13.0</v>
      </c>
      <c r="Q2" s="10">
        <v>14.0</v>
      </c>
      <c r="R2" s="10">
        <v>15.0</v>
      </c>
      <c r="S2" s="10">
        <v>16.0</v>
      </c>
      <c r="T2" s="10">
        <v>17.0</v>
      </c>
      <c r="U2" s="10">
        <v>18.0</v>
      </c>
      <c r="V2" s="10">
        <v>19.0</v>
      </c>
      <c r="W2" s="10">
        <v>20.0</v>
      </c>
      <c r="X2" s="10">
        <v>21.0</v>
      </c>
      <c r="Y2" s="10">
        <v>22.0</v>
      </c>
      <c r="Z2" s="10">
        <v>23.0</v>
      </c>
      <c r="AA2" s="10">
        <v>24.0</v>
      </c>
      <c r="AB2" s="10">
        <v>25.0</v>
      </c>
      <c r="AC2" s="10">
        <v>26.0</v>
      </c>
      <c r="AD2" s="10">
        <v>27.0</v>
      </c>
      <c r="AE2" s="10">
        <v>28.0</v>
      </c>
      <c r="AF2" s="10">
        <v>29.0</v>
      </c>
      <c r="AG2" s="10">
        <v>30.0</v>
      </c>
      <c r="AH2" s="10">
        <v>31.0</v>
      </c>
      <c r="AI2" s="9" t="s">
        <v>4</v>
      </c>
      <c r="AJ2" s="9" t="s">
        <v>5</v>
      </c>
      <c r="AK2" s="9" t="s">
        <v>6</v>
      </c>
      <c r="AL2" s="9" t="s">
        <v>7</v>
      </c>
      <c r="AM2" s="9" t="s">
        <v>8</v>
      </c>
      <c r="AN2" s="9" t="s">
        <v>9</v>
      </c>
      <c r="AO2" s="9" t="s">
        <v>10</v>
      </c>
      <c r="AP2" s="9" t="s">
        <v>11</v>
      </c>
      <c r="AQ2" s="9" t="s">
        <v>12</v>
      </c>
      <c r="AR2" s="9" t="s">
        <v>13</v>
      </c>
      <c r="AS2" s="12" t="s">
        <v>14</v>
      </c>
    </row>
    <row r="3" spans="8:8" ht="45.0" customHeight="1">
      <c r="A3" s="9"/>
      <c r="B3" s="10"/>
      <c r="C3" s="9"/>
      <c r="D3" s="11" t="s">
        <v>15</v>
      </c>
      <c r="E3" s="11" t="s">
        <v>16</v>
      </c>
      <c r="F3" s="11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15</v>
      </c>
      <c r="S3" s="10" t="s">
        <v>16</v>
      </c>
      <c r="T3" s="10" t="s">
        <v>17</v>
      </c>
      <c r="U3" s="10" t="s">
        <v>18</v>
      </c>
      <c r="V3" s="10" t="s">
        <v>19</v>
      </c>
      <c r="W3" s="10" t="s">
        <v>20</v>
      </c>
      <c r="X3" s="10" t="s">
        <v>21</v>
      </c>
      <c r="Y3" s="10" t="s">
        <v>15</v>
      </c>
      <c r="Z3" s="10" t="s">
        <v>16</v>
      </c>
      <c r="AA3" s="13" t="s">
        <v>17</v>
      </c>
      <c r="AB3" s="13" t="s">
        <v>18</v>
      </c>
      <c r="AC3" s="10" t="s">
        <v>19</v>
      </c>
      <c r="AD3" s="10" t="s">
        <v>20</v>
      </c>
      <c r="AE3" s="10" t="s">
        <v>21</v>
      </c>
      <c r="AF3" s="10" t="s">
        <v>15</v>
      </c>
      <c r="AG3" s="10" t="s">
        <v>16</v>
      </c>
      <c r="AH3" s="10" t="s">
        <v>17</v>
      </c>
      <c r="AI3" s="9"/>
      <c r="AJ3" s="9"/>
      <c r="AK3" s="9"/>
      <c r="AL3" s="9"/>
      <c r="AM3" s="9"/>
      <c r="AN3" s="9"/>
      <c r="AO3" s="10"/>
      <c r="AP3" s="10"/>
      <c r="AQ3" s="9"/>
      <c r="AR3" s="9"/>
      <c r="AS3" s="12"/>
      <c r="AT3" s="10" t="s">
        <v>22</v>
      </c>
      <c r="AU3" s="10" t="s">
        <v>23</v>
      </c>
      <c r="AV3" s="10" t="s">
        <v>24</v>
      </c>
      <c r="AW3" s="10" t="s">
        <v>25</v>
      </c>
      <c r="AX3" s="10" t="s">
        <v>26</v>
      </c>
      <c r="AY3" s="10" t="s">
        <v>27</v>
      </c>
      <c r="AZ3" s="10" t="s">
        <v>28</v>
      </c>
    </row>
    <row r="4" spans="8:8" ht="27.0" customHeight="1">
      <c r="A4" s="9">
        <v>1.0</v>
      </c>
      <c r="B4" s="10" t="s">
        <v>29</v>
      </c>
      <c r="C4" s="9" t="s">
        <v>30</v>
      </c>
      <c r="D4" s="14" t="s">
        <v>23</v>
      </c>
      <c r="E4" s="14" t="s">
        <v>23</v>
      </c>
      <c r="F4" s="14" t="s">
        <v>22</v>
      </c>
      <c r="G4" s="15" t="s">
        <v>22</v>
      </c>
      <c r="H4" s="15" t="s">
        <v>22</v>
      </c>
      <c r="I4" s="15" t="s">
        <v>22</v>
      </c>
      <c r="J4" s="15" t="s">
        <v>22</v>
      </c>
      <c r="K4" s="15" t="s">
        <v>23</v>
      </c>
      <c r="L4" s="15" t="s">
        <v>23</v>
      </c>
      <c r="M4" s="16" t="s">
        <v>22</v>
      </c>
      <c r="N4" s="17" t="s">
        <v>27</v>
      </c>
      <c r="O4" s="16" t="s">
        <v>25</v>
      </c>
      <c r="P4" s="15" t="s">
        <v>23</v>
      </c>
      <c r="Q4" s="15" t="s">
        <v>23</v>
      </c>
      <c r="R4" s="15" t="s">
        <v>23</v>
      </c>
      <c r="S4" s="15" t="s">
        <v>23</v>
      </c>
      <c r="T4" s="15" t="s">
        <v>22</v>
      </c>
      <c r="U4" s="17" t="s">
        <v>27</v>
      </c>
      <c r="V4" s="16" t="s">
        <v>25</v>
      </c>
      <c r="W4" s="16" t="s">
        <v>22</v>
      </c>
      <c r="X4" s="15" t="s">
        <v>23</v>
      </c>
      <c r="Y4" s="15" t="s">
        <v>23</v>
      </c>
      <c r="Z4" s="15" t="s">
        <v>22</v>
      </c>
      <c r="AA4" s="15" t="s">
        <v>22</v>
      </c>
      <c r="AB4" s="17" t="s">
        <v>27</v>
      </c>
      <c r="AC4" s="15" t="s">
        <v>22</v>
      </c>
      <c r="AD4" s="15" t="s">
        <v>23</v>
      </c>
      <c r="AE4" s="15" t="s">
        <v>23</v>
      </c>
      <c r="AF4" s="15" t="s">
        <v>23</v>
      </c>
      <c r="AG4" s="15" t="s">
        <v>23</v>
      </c>
      <c r="AH4" s="15" t="s">
        <v>23</v>
      </c>
      <c r="AI4" s="18">
        <v>18.0</v>
      </c>
      <c r="AJ4" s="18">
        <v>20.0</v>
      </c>
      <c r="AK4" s="18">
        <v>10.0</v>
      </c>
      <c r="AL4" s="18">
        <v>1.0</v>
      </c>
      <c r="AM4" s="18">
        <v>0.0</v>
      </c>
      <c r="AN4" s="18">
        <f>31-AJ4</f>
        <v>11.0</v>
      </c>
      <c r="AO4" s="18">
        <v>0.0</v>
      </c>
      <c r="AP4" s="18">
        <v>0.0</v>
      </c>
      <c r="AQ4" s="18">
        <v>0.0</v>
      </c>
      <c r="AR4" s="18">
        <v>5.0</v>
      </c>
      <c r="AS4" s="18">
        <v>5.0</v>
      </c>
      <c r="AT4" s="10">
        <f t="shared" si="0" ref="AT4:AT28">COUNTIF(A4:AJ4,$AT$3)</f>
        <v>11.0</v>
      </c>
      <c r="AU4" s="10">
        <f t="shared" si="1" ref="AU4:AU28">COUNTIF(A4:AJ4,$AU$3)</f>
        <v>15.0</v>
      </c>
      <c r="AV4" s="10">
        <f t="shared" si="2" ref="AV4:AV28">COUNTIF(A4:AJ4,$AV$3)</f>
        <v>0.0</v>
      </c>
      <c r="AW4" s="10">
        <f t="shared" si="3" ref="AW4:AW28">COUNTIF(A4:AJ4,$AW$3)</f>
        <v>2.0</v>
      </c>
      <c r="AX4" s="10">
        <f t="shared" si="4" ref="AX4:AX28">COUNTIF(A4:AJ4,$AX$3)</f>
        <v>0.0</v>
      </c>
      <c r="AY4" s="10">
        <f t="shared" si="5" ref="AY4:AY28">COUNTIF(A4:AJ4,$AY$3)</f>
        <v>3.0</v>
      </c>
      <c r="AZ4" s="10">
        <f t="shared" si="6" ref="AZ4:AZ28">SUM(AU4:AY4)</f>
        <v>20.0</v>
      </c>
    </row>
    <row r="5" spans="8:8" ht="27.0" customHeight="1">
      <c r="A5" s="9">
        <v>2.0</v>
      </c>
      <c r="B5" s="10" t="s">
        <v>31</v>
      </c>
      <c r="C5" s="9" t="s">
        <v>32</v>
      </c>
      <c r="D5" s="14" t="s">
        <v>22</v>
      </c>
      <c r="E5" s="14" t="s">
        <v>22</v>
      </c>
      <c r="F5" s="14" t="s">
        <v>23</v>
      </c>
      <c r="G5" s="18" t="s">
        <v>23</v>
      </c>
      <c r="H5" s="18" t="s">
        <v>23</v>
      </c>
      <c r="I5" s="18" t="s">
        <v>23</v>
      </c>
      <c r="J5" s="18" t="s">
        <v>23</v>
      </c>
      <c r="K5" s="19" t="s">
        <v>27</v>
      </c>
      <c r="L5" s="18" t="s">
        <v>22</v>
      </c>
      <c r="M5" s="18" t="s">
        <v>23</v>
      </c>
      <c r="N5" s="18" t="s">
        <v>23</v>
      </c>
      <c r="O5" s="18" t="s">
        <v>23</v>
      </c>
      <c r="P5" s="18" t="s">
        <v>23</v>
      </c>
      <c r="Q5" s="18" t="s">
        <v>23</v>
      </c>
      <c r="R5" s="18" t="s">
        <v>22</v>
      </c>
      <c r="S5" s="19" t="s">
        <v>27</v>
      </c>
      <c r="T5" s="18" t="s">
        <v>22</v>
      </c>
      <c r="U5" s="18" t="s">
        <v>23</v>
      </c>
      <c r="V5" s="18" t="s">
        <v>23</v>
      </c>
      <c r="W5" s="18" t="s">
        <v>23</v>
      </c>
      <c r="X5" s="18" t="s">
        <v>23</v>
      </c>
      <c r="Y5" s="18" t="s">
        <v>22</v>
      </c>
      <c r="Z5" s="18" t="s">
        <v>22</v>
      </c>
      <c r="AA5" s="18" t="s">
        <v>23</v>
      </c>
      <c r="AB5" s="18" t="s">
        <v>23</v>
      </c>
      <c r="AC5" s="18" t="s">
        <v>23</v>
      </c>
      <c r="AD5" s="18" t="s">
        <v>23</v>
      </c>
      <c r="AE5" s="18" t="s">
        <v>23</v>
      </c>
      <c r="AF5" s="18" t="s">
        <v>22</v>
      </c>
      <c r="AG5" s="19" t="s">
        <v>27</v>
      </c>
      <c r="AH5" s="18" t="s">
        <v>22</v>
      </c>
      <c r="AI5" s="18">
        <v>22.0</v>
      </c>
      <c r="AJ5" s="18">
        <v>22.0</v>
      </c>
      <c r="AK5" s="18">
        <v>6.0</v>
      </c>
      <c r="AL5" s="18">
        <v>3.0</v>
      </c>
      <c r="AM5" s="18">
        <v>0.0</v>
      </c>
      <c r="AN5" s="18">
        <f t="shared" si="7" ref="AN5:AN24">31-AJ5</f>
        <v>9.0</v>
      </c>
      <c r="AO5" s="18">
        <v>0.0</v>
      </c>
      <c r="AP5" s="18">
        <v>0.0</v>
      </c>
      <c r="AQ5" s="18">
        <v>9.0</v>
      </c>
      <c r="AR5" s="18">
        <v>0.0</v>
      </c>
      <c r="AS5" s="18">
        <v>9.0</v>
      </c>
      <c r="AT5" s="10">
        <f t="shared" si="0"/>
        <v>9.0</v>
      </c>
      <c r="AU5" s="10">
        <f t="shared" si="1"/>
        <v>19.0</v>
      </c>
      <c r="AV5" s="10">
        <f t="shared" si="2"/>
        <v>0.0</v>
      </c>
      <c r="AW5" s="10">
        <f t="shared" si="3"/>
        <v>0.0</v>
      </c>
      <c r="AX5" s="10">
        <f t="shared" si="4"/>
        <v>0.0</v>
      </c>
      <c r="AY5" s="10">
        <f t="shared" si="5"/>
        <v>3.0</v>
      </c>
      <c r="AZ5" s="10">
        <f t="shared" si="6"/>
        <v>22.0</v>
      </c>
    </row>
    <row r="6" spans="8:8" ht="27.0" customHeight="1">
      <c r="A6" s="9">
        <v>3.0</v>
      </c>
      <c r="B6" s="10" t="s">
        <v>33</v>
      </c>
      <c r="C6" s="10" t="s">
        <v>34</v>
      </c>
      <c r="D6" s="20" t="s">
        <v>24</v>
      </c>
      <c r="E6" s="20" t="s">
        <v>24</v>
      </c>
      <c r="F6" s="20" t="s">
        <v>24</v>
      </c>
      <c r="G6" s="19" t="s">
        <v>24</v>
      </c>
      <c r="H6" s="19" t="s">
        <v>24</v>
      </c>
      <c r="I6" s="18" t="s">
        <v>22</v>
      </c>
      <c r="J6" s="19" t="s">
        <v>24</v>
      </c>
      <c r="K6" s="19" t="s">
        <v>25</v>
      </c>
      <c r="L6" s="19" t="s">
        <v>25</v>
      </c>
      <c r="M6" s="19" t="s">
        <v>25</v>
      </c>
      <c r="N6" s="18" t="s">
        <v>22</v>
      </c>
      <c r="O6" s="21" t="s">
        <v>27</v>
      </c>
      <c r="P6" s="22" t="s">
        <v>27</v>
      </c>
      <c r="Q6" s="22" t="s">
        <v>27</v>
      </c>
      <c r="R6" s="18" t="s">
        <v>22</v>
      </c>
      <c r="S6" s="19" t="s">
        <v>24</v>
      </c>
      <c r="T6" s="19" t="s">
        <v>27</v>
      </c>
      <c r="U6" s="18" t="s">
        <v>22</v>
      </c>
      <c r="V6" s="23" t="s">
        <v>25</v>
      </c>
      <c r="W6" s="24" t="s">
        <v>25</v>
      </c>
      <c r="X6" s="19" t="s">
        <v>25</v>
      </c>
      <c r="Y6" s="18" t="s">
        <v>22</v>
      </c>
      <c r="Z6" s="19" t="s">
        <v>24</v>
      </c>
      <c r="AA6" s="19" t="s">
        <v>24</v>
      </c>
      <c r="AB6" s="19" t="s">
        <v>25</v>
      </c>
      <c r="AC6" s="19" t="s">
        <v>25</v>
      </c>
      <c r="AD6" s="18" t="s">
        <v>22</v>
      </c>
      <c r="AE6" s="19" t="s">
        <v>24</v>
      </c>
      <c r="AF6" s="19" t="s">
        <v>24</v>
      </c>
      <c r="AG6" s="19" t="s">
        <v>25</v>
      </c>
      <c r="AH6" s="19" t="s">
        <v>27</v>
      </c>
      <c r="AI6" s="18">
        <v>22.0</v>
      </c>
      <c r="AJ6" s="18">
        <v>25.0</v>
      </c>
      <c r="AK6" s="18">
        <v>6.0</v>
      </c>
      <c r="AL6" s="18">
        <v>3.0</v>
      </c>
      <c r="AM6" s="18">
        <v>0.0</v>
      </c>
      <c r="AN6" s="18">
        <f t="shared" si="7"/>
        <v>6.0</v>
      </c>
      <c r="AO6" s="18">
        <v>0.0</v>
      </c>
      <c r="AP6" s="18">
        <v>0.0</v>
      </c>
      <c r="AQ6" s="18">
        <v>10.0</v>
      </c>
      <c r="AR6" s="18">
        <v>0.0</v>
      </c>
      <c r="AS6" s="18">
        <f t="shared" si="8" ref="AS6:AS8">AR6+AQ6+AP6-AM6</f>
        <v>10.0</v>
      </c>
      <c r="AT6" s="10">
        <f t="shared" si="0"/>
        <v>6.0</v>
      </c>
      <c r="AU6" s="10">
        <f t="shared" si="1"/>
        <v>0.0</v>
      </c>
      <c r="AV6" s="10">
        <f t="shared" si="2"/>
        <v>11.0</v>
      </c>
      <c r="AW6" s="10">
        <f t="shared" si="3"/>
        <v>9.0</v>
      </c>
      <c r="AX6" s="10">
        <f t="shared" si="4"/>
        <v>0.0</v>
      </c>
      <c r="AY6" s="10">
        <f t="shared" si="5"/>
        <v>5.0</v>
      </c>
      <c r="AZ6" s="10">
        <f t="shared" si="6"/>
        <v>25.0</v>
      </c>
    </row>
    <row r="7" spans="8:8" ht="27.0" customHeight="1">
      <c r="A7" s="9">
        <v>4.0</v>
      </c>
      <c r="B7" s="10" t="s">
        <v>35</v>
      </c>
      <c r="C7" s="10" t="s">
        <v>34</v>
      </c>
      <c r="D7" s="20" t="s">
        <v>25</v>
      </c>
      <c r="E7" s="20" t="s">
        <v>25</v>
      </c>
      <c r="F7" s="20" t="s">
        <v>25</v>
      </c>
      <c r="G7" s="19" t="s">
        <v>25</v>
      </c>
      <c r="H7" s="18" t="s">
        <v>22</v>
      </c>
      <c r="I7" s="19" t="s">
        <v>24</v>
      </c>
      <c r="J7" s="18" t="s">
        <v>22</v>
      </c>
      <c r="K7" s="19" t="s">
        <v>24</v>
      </c>
      <c r="L7" s="19" t="s">
        <v>24</v>
      </c>
      <c r="M7" s="19" t="s">
        <v>24</v>
      </c>
      <c r="N7" s="19" t="s">
        <v>24</v>
      </c>
      <c r="O7" s="18" t="s">
        <v>22</v>
      </c>
      <c r="P7" s="19" t="s">
        <v>25</v>
      </c>
      <c r="Q7" s="25" t="s">
        <v>25</v>
      </c>
      <c r="R7" s="19" t="s">
        <v>25</v>
      </c>
      <c r="S7" s="19" t="s">
        <v>25</v>
      </c>
      <c r="T7" s="25" t="s">
        <v>25</v>
      </c>
      <c r="U7" s="25" t="s">
        <v>25</v>
      </c>
      <c r="V7" s="19" t="s">
        <v>27</v>
      </c>
      <c r="W7" s="19" t="s">
        <v>27</v>
      </c>
      <c r="X7" s="19" t="s">
        <v>27</v>
      </c>
      <c r="Y7" s="18" t="s">
        <v>22</v>
      </c>
      <c r="Z7" s="19" t="s">
        <v>25</v>
      </c>
      <c r="AA7" s="19" t="s">
        <v>25</v>
      </c>
      <c r="AB7" s="18" t="s">
        <v>22</v>
      </c>
      <c r="AC7" s="19" t="s">
        <v>27</v>
      </c>
      <c r="AD7" s="19" t="s">
        <v>27</v>
      </c>
      <c r="AE7" s="19" t="s">
        <v>27</v>
      </c>
      <c r="AF7" s="18" t="s">
        <v>22</v>
      </c>
      <c r="AG7" s="19" t="s">
        <v>24</v>
      </c>
      <c r="AH7" s="19" t="s">
        <v>24</v>
      </c>
      <c r="AI7" s="18">
        <v>22.0</v>
      </c>
      <c r="AJ7" s="18">
        <v>25.0</v>
      </c>
      <c r="AK7" s="18">
        <v>6.0</v>
      </c>
      <c r="AL7" s="18">
        <v>3.0</v>
      </c>
      <c r="AM7" s="18">
        <v>0.0</v>
      </c>
      <c r="AN7" s="18">
        <f t="shared" si="7"/>
        <v>6.0</v>
      </c>
      <c r="AO7" s="18">
        <v>0.0</v>
      </c>
      <c r="AP7" s="18">
        <v>0.0</v>
      </c>
      <c r="AQ7" s="18">
        <v>10.0</v>
      </c>
      <c r="AR7" s="18">
        <v>0.0</v>
      </c>
      <c r="AS7" s="18">
        <f t="shared" si="8"/>
        <v>10.0</v>
      </c>
      <c r="AT7" s="10">
        <f t="shared" si="0"/>
        <v>6.0</v>
      </c>
      <c r="AU7" s="10">
        <f t="shared" si="1"/>
        <v>0.0</v>
      </c>
      <c r="AV7" s="10">
        <f t="shared" si="2"/>
        <v>7.0</v>
      </c>
      <c r="AW7" s="10">
        <f t="shared" si="3"/>
        <v>12.0</v>
      </c>
      <c r="AX7" s="10">
        <f t="shared" si="4"/>
        <v>0.0</v>
      </c>
      <c r="AY7" s="10">
        <f t="shared" si="5"/>
        <v>6.0</v>
      </c>
      <c r="AZ7" s="10">
        <f t="shared" si="6"/>
        <v>25.0</v>
      </c>
    </row>
    <row r="8" spans="8:8" ht="27.0" customHeight="1">
      <c r="A8" s="9">
        <v>5.0</v>
      </c>
      <c r="B8" s="10" t="s">
        <v>36</v>
      </c>
      <c r="C8" s="10" t="s">
        <v>37</v>
      </c>
      <c r="D8" s="20" t="s">
        <v>27</v>
      </c>
      <c r="E8" s="20" t="s">
        <v>27</v>
      </c>
      <c r="F8" s="20" t="s">
        <v>27</v>
      </c>
      <c r="G8" s="18" t="s">
        <v>22</v>
      </c>
      <c r="H8" s="19" t="s">
        <v>25</v>
      </c>
      <c r="I8" s="19" t="s">
        <v>25</v>
      </c>
      <c r="J8" s="19" t="s">
        <v>25</v>
      </c>
      <c r="K8" s="18" t="s">
        <v>22</v>
      </c>
      <c r="L8" s="19" t="s">
        <v>24</v>
      </c>
      <c r="M8" s="19" t="s">
        <v>24</v>
      </c>
      <c r="N8" s="19" t="s">
        <v>25</v>
      </c>
      <c r="O8" s="19" t="s">
        <v>25</v>
      </c>
      <c r="P8" s="18" t="s">
        <v>22</v>
      </c>
      <c r="Q8" s="19" t="s">
        <v>24</v>
      </c>
      <c r="R8" s="19" t="s">
        <v>24</v>
      </c>
      <c r="S8" s="19" t="s">
        <v>24</v>
      </c>
      <c r="T8" s="19" t="s">
        <v>24</v>
      </c>
      <c r="U8" s="19" t="s">
        <v>24</v>
      </c>
      <c r="V8" s="18" t="s">
        <v>22</v>
      </c>
      <c r="W8" s="19" t="s">
        <v>24</v>
      </c>
      <c r="X8" s="19" t="s">
        <v>24</v>
      </c>
      <c r="Y8" s="19" t="s">
        <v>25</v>
      </c>
      <c r="Z8" s="19" t="s">
        <v>27</v>
      </c>
      <c r="AA8" s="19" t="s">
        <v>27</v>
      </c>
      <c r="AB8" s="18" t="s">
        <v>22</v>
      </c>
      <c r="AC8" s="19" t="s">
        <v>24</v>
      </c>
      <c r="AD8" s="19" t="s">
        <v>25</v>
      </c>
      <c r="AE8" s="19" t="s">
        <v>25</v>
      </c>
      <c r="AF8" s="19" t="s">
        <v>25</v>
      </c>
      <c r="AG8" s="18" t="s">
        <v>22</v>
      </c>
      <c r="AH8" s="19" t="s">
        <v>25</v>
      </c>
      <c r="AI8" s="18">
        <v>22.0</v>
      </c>
      <c r="AJ8" s="18">
        <v>25.0</v>
      </c>
      <c r="AK8" s="18">
        <v>6.0</v>
      </c>
      <c r="AL8" s="18">
        <v>3.0</v>
      </c>
      <c r="AM8" s="18">
        <v>0.0</v>
      </c>
      <c r="AN8" s="18">
        <f t="shared" si="7"/>
        <v>6.0</v>
      </c>
      <c r="AO8" s="18">
        <v>0.0</v>
      </c>
      <c r="AP8" s="18">
        <v>0.0</v>
      </c>
      <c r="AQ8" s="18">
        <v>5.0</v>
      </c>
      <c r="AR8" s="18">
        <v>0.0</v>
      </c>
      <c r="AS8" s="18">
        <f t="shared" si="8"/>
        <v>5.0</v>
      </c>
      <c r="AT8" s="10">
        <f t="shared" si="0"/>
        <v>6.0</v>
      </c>
      <c r="AU8" s="10">
        <f t="shared" si="1"/>
        <v>0.0</v>
      </c>
      <c r="AV8" s="10">
        <f t="shared" si="2"/>
        <v>10.0</v>
      </c>
      <c r="AW8" s="10">
        <f t="shared" si="3"/>
        <v>10.0</v>
      </c>
      <c r="AX8" s="10">
        <f t="shared" si="4"/>
        <v>0.0</v>
      </c>
      <c r="AY8" s="10">
        <f t="shared" si="5"/>
        <v>5.0</v>
      </c>
      <c r="AZ8" s="10">
        <f t="shared" si="6"/>
        <v>25.0</v>
      </c>
    </row>
    <row r="9" spans="8:8" ht="27.0" customHeight="1">
      <c r="A9" s="9">
        <v>6.0</v>
      </c>
      <c r="B9" s="10" t="s">
        <v>38</v>
      </c>
      <c r="C9" s="9" t="s">
        <v>39</v>
      </c>
      <c r="D9" s="20" t="s">
        <v>24</v>
      </c>
      <c r="E9" s="20" t="s">
        <v>24</v>
      </c>
      <c r="F9" s="20" t="s">
        <v>24</v>
      </c>
      <c r="G9" s="19" t="s">
        <v>24</v>
      </c>
      <c r="H9" s="25" t="s">
        <v>25</v>
      </c>
      <c r="I9" s="18" t="s">
        <v>22</v>
      </c>
      <c r="J9" s="19" t="s">
        <v>24</v>
      </c>
      <c r="K9" s="19" t="s">
        <v>24</v>
      </c>
      <c r="L9" s="19" t="s">
        <v>24</v>
      </c>
      <c r="M9" s="18" t="s">
        <v>22</v>
      </c>
      <c r="N9" s="19" t="s">
        <v>24</v>
      </c>
      <c r="O9" s="19" t="s">
        <v>24</v>
      </c>
      <c r="P9" s="19" t="s">
        <v>25</v>
      </c>
      <c r="Q9" s="19" t="s">
        <v>25</v>
      </c>
      <c r="R9" s="19" t="s">
        <v>25</v>
      </c>
      <c r="S9" s="18" t="s">
        <v>22</v>
      </c>
      <c r="T9" s="19" t="s">
        <v>24</v>
      </c>
      <c r="U9" s="19" t="s">
        <v>25</v>
      </c>
      <c r="V9" s="19" t="s">
        <v>25</v>
      </c>
      <c r="W9" s="18" t="s">
        <v>22</v>
      </c>
      <c r="X9" s="19" t="s">
        <v>26</v>
      </c>
      <c r="Y9" s="19" t="s">
        <v>26</v>
      </c>
      <c r="Z9" s="19" t="s">
        <v>26</v>
      </c>
      <c r="AA9" s="19" t="s">
        <v>26</v>
      </c>
      <c r="AB9" s="18" t="s">
        <v>22</v>
      </c>
      <c r="AC9" s="19" t="s">
        <v>24</v>
      </c>
      <c r="AD9" s="19" t="s">
        <v>24</v>
      </c>
      <c r="AE9" s="19" t="s">
        <v>24</v>
      </c>
      <c r="AF9" s="19" t="s">
        <v>24</v>
      </c>
      <c r="AG9" s="18" t="s">
        <v>22</v>
      </c>
      <c r="AH9" s="19" t="s">
        <v>25</v>
      </c>
      <c r="AI9" s="18">
        <v>22.0</v>
      </c>
      <c r="AJ9" s="18">
        <v>25.0</v>
      </c>
      <c r="AK9" s="18">
        <v>6.0</v>
      </c>
      <c r="AL9" s="18">
        <v>3.0</v>
      </c>
      <c r="AM9" s="18">
        <v>0.0</v>
      </c>
      <c r="AN9" s="18">
        <f t="shared" si="7"/>
        <v>6.0</v>
      </c>
      <c r="AO9" s="18">
        <v>0.0</v>
      </c>
      <c r="AP9" s="18">
        <v>0.0</v>
      </c>
      <c r="AQ9" s="18">
        <v>0.0</v>
      </c>
      <c r="AR9" s="18">
        <v>0.0</v>
      </c>
      <c r="AS9" s="18">
        <v>0.0</v>
      </c>
      <c r="AT9" s="10">
        <f t="shared" si="0"/>
        <v>6.0</v>
      </c>
      <c r="AU9" s="10">
        <f t="shared" si="1"/>
        <v>0.0</v>
      </c>
      <c r="AV9" s="10">
        <f t="shared" si="2"/>
        <v>14.0</v>
      </c>
      <c r="AW9" s="10">
        <f t="shared" si="3"/>
        <v>7.0</v>
      </c>
      <c r="AX9" s="10">
        <f t="shared" si="4"/>
        <v>4.0</v>
      </c>
      <c r="AY9" s="10">
        <f t="shared" si="5"/>
        <v>0.0</v>
      </c>
      <c r="AZ9" s="10">
        <f t="shared" si="6"/>
        <v>25.0</v>
      </c>
    </row>
    <row r="10" spans="8:8" ht="27.0" customHeight="1">
      <c r="A10" s="9">
        <v>7.0</v>
      </c>
      <c r="B10" s="10" t="s">
        <v>40</v>
      </c>
      <c r="C10" s="9" t="s">
        <v>39</v>
      </c>
      <c r="D10" s="20" t="s">
        <v>24</v>
      </c>
      <c r="E10" s="20" t="s">
        <v>24</v>
      </c>
      <c r="F10" s="20" t="s">
        <v>24</v>
      </c>
      <c r="G10" s="19" t="s">
        <v>24</v>
      </c>
      <c r="H10" s="18" t="s">
        <v>22</v>
      </c>
      <c r="I10" s="19" t="s">
        <v>25</v>
      </c>
      <c r="J10" s="19" t="s">
        <v>25</v>
      </c>
      <c r="K10" s="19" t="s">
        <v>25</v>
      </c>
      <c r="L10" s="18" t="s">
        <v>22</v>
      </c>
      <c r="M10" s="19" t="s">
        <v>24</v>
      </c>
      <c r="N10" s="19" t="s">
        <v>24</v>
      </c>
      <c r="O10" s="19" t="s">
        <v>25</v>
      </c>
      <c r="P10" s="19" t="s">
        <v>25</v>
      </c>
      <c r="Q10" s="18" t="s">
        <v>22</v>
      </c>
      <c r="R10" s="19" t="s">
        <v>24</v>
      </c>
      <c r="S10" s="19" t="s">
        <v>24</v>
      </c>
      <c r="T10" s="19" t="s">
        <v>26</v>
      </c>
      <c r="U10" s="19" t="s">
        <v>26</v>
      </c>
      <c r="V10" s="19" t="s">
        <v>26</v>
      </c>
      <c r="W10" s="19" t="s">
        <v>26</v>
      </c>
      <c r="X10" s="18" t="s">
        <v>22</v>
      </c>
      <c r="Y10" s="19" t="s">
        <v>25</v>
      </c>
      <c r="Z10" s="19" t="s">
        <v>25</v>
      </c>
      <c r="AA10" s="19" t="s">
        <v>25</v>
      </c>
      <c r="AB10" s="19" t="s">
        <v>25</v>
      </c>
      <c r="AC10" s="18" t="s">
        <v>22</v>
      </c>
      <c r="AD10" s="19" t="s">
        <v>24</v>
      </c>
      <c r="AE10" s="19" t="s">
        <v>24</v>
      </c>
      <c r="AF10" s="19" t="s">
        <v>24</v>
      </c>
      <c r="AG10" s="19" t="s">
        <v>24</v>
      </c>
      <c r="AH10" s="18" t="s">
        <v>22</v>
      </c>
      <c r="AI10" s="18">
        <v>22.0</v>
      </c>
      <c r="AJ10" s="18">
        <v>25.0</v>
      </c>
      <c r="AK10" s="18">
        <v>6.0</v>
      </c>
      <c r="AL10" s="18">
        <v>3.0</v>
      </c>
      <c r="AM10" s="18">
        <v>0.0</v>
      </c>
      <c r="AN10" s="18">
        <f t="shared" si="7"/>
        <v>6.0</v>
      </c>
      <c r="AO10" s="18">
        <v>0.0</v>
      </c>
      <c r="AP10" s="18">
        <v>4.0</v>
      </c>
      <c r="AQ10" s="18">
        <v>0.0</v>
      </c>
      <c r="AR10" s="18">
        <v>0.0</v>
      </c>
      <c r="AS10" s="18">
        <f t="shared" si="9" ref="AS10:AS19">AR10+AQ10+AP10-AM10</f>
        <v>4.0</v>
      </c>
      <c r="AT10" s="10">
        <f t="shared" si="0"/>
        <v>6.0</v>
      </c>
      <c r="AU10" s="10">
        <f t="shared" si="1"/>
        <v>0.0</v>
      </c>
      <c r="AV10" s="10">
        <f t="shared" si="2"/>
        <v>12.0</v>
      </c>
      <c r="AW10" s="10">
        <f t="shared" si="3"/>
        <v>9.0</v>
      </c>
      <c r="AX10" s="10">
        <f t="shared" si="4"/>
        <v>4.0</v>
      </c>
      <c r="AY10" s="10">
        <f t="shared" si="5"/>
        <v>0.0</v>
      </c>
      <c r="AZ10" s="10">
        <f t="shared" si="6"/>
        <v>25.0</v>
      </c>
    </row>
    <row r="11" spans="8:8" ht="27.0" customHeight="1">
      <c r="A11" s="9">
        <v>8.0</v>
      </c>
      <c r="B11" s="10" t="s">
        <v>41</v>
      </c>
      <c r="C11" s="9" t="s">
        <v>39</v>
      </c>
      <c r="D11" s="20" t="s">
        <v>25</v>
      </c>
      <c r="E11" s="20" t="s">
        <v>25</v>
      </c>
      <c r="F11" s="26" t="s">
        <v>25</v>
      </c>
      <c r="G11" s="19" t="s">
        <v>25</v>
      </c>
      <c r="H11" s="25" t="s">
        <v>25</v>
      </c>
      <c r="I11" s="18" t="s">
        <v>22</v>
      </c>
      <c r="J11" s="18" t="s">
        <v>22</v>
      </c>
      <c r="K11" s="19" t="s">
        <v>26</v>
      </c>
      <c r="L11" s="19" t="s">
        <v>26</v>
      </c>
      <c r="M11" s="19" t="s">
        <v>26</v>
      </c>
      <c r="N11" s="19" t="s">
        <v>26</v>
      </c>
      <c r="O11" s="19" t="s">
        <v>26</v>
      </c>
      <c r="P11" s="18" t="s">
        <v>22</v>
      </c>
      <c r="Q11" s="19" t="s">
        <v>25</v>
      </c>
      <c r="R11" s="19" t="s">
        <v>25</v>
      </c>
      <c r="S11" s="25" t="s">
        <v>25</v>
      </c>
      <c r="T11" s="18" t="s">
        <v>22</v>
      </c>
      <c r="U11" s="18" t="s">
        <v>22</v>
      </c>
      <c r="V11" s="19" t="s">
        <v>25</v>
      </c>
      <c r="W11" s="19" t="s">
        <v>25</v>
      </c>
      <c r="X11" s="18" t="s">
        <v>22</v>
      </c>
      <c r="Y11" s="19" t="s">
        <v>24</v>
      </c>
      <c r="Z11" s="19" t="s">
        <v>24</v>
      </c>
      <c r="AA11" s="19" t="s">
        <v>24</v>
      </c>
      <c r="AB11" s="19" t="s">
        <v>24</v>
      </c>
      <c r="AC11" s="19" t="s">
        <v>24</v>
      </c>
      <c r="AD11" s="19" t="s">
        <v>24</v>
      </c>
      <c r="AE11" s="19" t="s">
        <v>42</v>
      </c>
      <c r="AF11" s="19" t="s">
        <v>25</v>
      </c>
      <c r="AG11" s="19" t="s">
        <v>25</v>
      </c>
      <c r="AH11" s="24" t="s">
        <v>25</v>
      </c>
      <c r="AI11" s="18">
        <v>21.0</v>
      </c>
      <c r="AJ11" s="18">
        <v>24.0</v>
      </c>
      <c r="AK11" s="18">
        <v>6.0</v>
      </c>
      <c r="AL11" s="18">
        <v>3.0</v>
      </c>
      <c r="AM11" s="18">
        <v>1.0</v>
      </c>
      <c r="AN11" s="18">
        <f t="shared" si="7"/>
        <v>7.0</v>
      </c>
      <c r="AO11" s="18">
        <v>0.0</v>
      </c>
      <c r="AP11" s="18">
        <v>0.0</v>
      </c>
      <c r="AQ11" s="18">
        <v>8.0</v>
      </c>
      <c r="AR11" s="18">
        <v>0.0</v>
      </c>
      <c r="AS11" s="18">
        <f t="shared" si="9"/>
        <v>7.0</v>
      </c>
      <c r="AT11" s="10">
        <f t="shared" si="0"/>
        <v>6.0</v>
      </c>
      <c r="AU11" s="10">
        <f t="shared" si="1"/>
        <v>0.0</v>
      </c>
      <c r="AV11" s="10">
        <f t="shared" si="2"/>
        <v>6.0</v>
      </c>
      <c r="AW11" s="10">
        <f t="shared" si="3"/>
        <v>13.0</v>
      </c>
      <c r="AX11" s="10">
        <f t="shared" si="4"/>
        <v>5.0</v>
      </c>
      <c r="AY11" s="10">
        <f t="shared" si="5"/>
        <v>0.0</v>
      </c>
      <c r="AZ11" s="10">
        <f t="shared" si="6"/>
        <v>24.0</v>
      </c>
    </row>
    <row r="12" spans="8:8" ht="27.0" customHeight="1">
      <c r="A12" s="9">
        <v>9.0</v>
      </c>
      <c r="B12" s="10" t="s">
        <v>43</v>
      </c>
      <c r="C12" s="9" t="s">
        <v>39</v>
      </c>
      <c r="D12" s="20" t="s">
        <v>24</v>
      </c>
      <c r="E12" s="20" t="s">
        <v>24</v>
      </c>
      <c r="F12" s="20" t="s">
        <v>24</v>
      </c>
      <c r="G12" s="19" t="s">
        <v>26</v>
      </c>
      <c r="H12" s="19" t="s">
        <v>26</v>
      </c>
      <c r="I12" s="19" t="s">
        <v>26</v>
      </c>
      <c r="J12" s="19" t="s">
        <v>26</v>
      </c>
      <c r="K12" s="18" t="s">
        <v>22</v>
      </c>
      <c r="L12" s="19" t="s">
        <v>25</v>
      </c>
      <c r="M12" s="19" t="s">
        <v>25</v>
      </c>
      <c r="N12" s="25" t="s">
        <v>25</v>
      </c>
      <c r="O12" s="18" t="s">
        <v>22</v>
      </c>
      <c r="P12" s="19" t="s">
        <v>24</v>
      </c>
      <c r="Q12" s="19" t="s">
        <v>24</v>
      </c>
      <c r="R12" s="19" t="s">
        <v>25</v>
      </c>
      <c r="S12" s="19" t="s">
        <v>25</v>
      </c>
      <c r="T12" s="25" t="s">
        <v>25</v>
      </c>
      <c r="U12" s="18" t="s">
        <v>22</v>
      </c>
      <c r="V12" s="19" t="s">
        <v>24</v>
      </c>
      <c r="W12" s="19" t="s">
        <v>24</v>
      </c>
      <c r="X12" s="19" t="s">
        <v>25</v>
      </c>
      <c r="Y12" s="19" t="s">
        <v>25</v>
      </c>
      <c r="Z12" s="18" t="s">
        <v>22</v>
      </c>
      <c r="AA12" s="19" t="s">
        <v>24</v>
      </c>
      <c r="AB12" s="19" t="s">
        <v>24</v>
      </c>
      <c r="AC12" s="19" t="s">
        <v>25</v>
      </c>
      <c r="AD12" s="19" t="s">
        <v>25</v>
      </c>
      <c r="AE12" s="19" t="s">
        <v>25</v>
      </c>
      <c r="AF12" s="18" t="s">
        <v>22</v>
      </c>
      <c r="AG12" s="18" t="s">
        <v>22</v>
      </c>
      <c r="AH12" s="19" t="s">
        <v>24</v>
      </c>
      <c r="AI12" s="18">
        <v>22.0</v>
      </c>
      <c r="AJ12" s="18">
        <v>25.0</v>
      </c>
      <c r="AK12" s="18">
        <v>6.0</v>
      </c>
      <c r="AL12" s="18">
        <v>3.0</v>
      </c>
      <c r="AM12" s="18">
        <v>0.0</v>
      </c>
      <c r="AN12" s="18">
        <f t="shared" si="7"/>
        <v>6.0</v>
      </c>
      <c r="AO12" s="18">
        <v>0.0</v>
      </c>
      <c r="AP12" s="18">
        <v>0.0</v>
      </c>
      <c r="AQ12" s="18">
        <v>10.0</v>
      </c>
      <c r="AR12" s="18">
        <v>0.0</v>
      </c>
      <c r="AS12" s="18">
        <f t="shared" si="9"/>
        <v>10.0</v>
      </c>
      <c r="AT12" s="10">
        <f t="shared" si="0"/>
        <v>6.0</v>
      </c>
      <c r="AU12" s="10">
        <f t="shared" si="1"/>
        <v>0.0</v>
      </c>
      <c r="AV12" s="10">
        <f t="shared" si="2"/>
        <v>10.0</v>
      </c>
      <c r="AW12" s="10">
        <f t="shared" si="3"/>
        <v>11.0</v>
      </c>
      <c r="AX12" s="10">
        <f t="shared" si="4"/>
        <v>4.0</v>
      </c>
      <c r="AY12" s="10">
        <f t="shared" si="5"/>
        <v>0.0</v>
      </c>
      <c r="AZ12" s="10">
        <f t="shared" si="6"/>
        <v>25.0</v>
      </c>
    </row>
    <row r="13" spans="8:8" ht="27.0" customHeight="1">
      <c r="A13" s="9">
        <v>10.0</v>
      </c>
      <c r="B13" s="10" t="s">
        <v>44</v>
      </c>
      <c r="C13" s="9" t="s">
        <v>39</v>
      </c>
      <c r="D13" s="20" t="s">
        <v>26</v>
      </c>
      <c r="E13" s="20" t="s">
        <v>26</v>
      </c>
      <c r="F13" s="20" t="s">
        <v>26</v>
      </c>
      <c r="G13" s="18" t="s">
        <v>22</v>
      </c>
      <c r="H13" s="19" t="s">
        <v>24</v>
      </c>
      <c r="I13" s="19" t="s">
        <v>24</v>
      </c>
      <c r="J13" s="19" t="s">
        <v>24</v>
      </c>
      <c r="K13" s="18" t="s">
        <v>22</v>
      </c>
      <c r="L13" s="19" t="s">
        <v>24</v>
      </c>
      <c r="M13" s="19" t="s">
        <v>24</v>
      </c>
      <c r="N13" s="19" t="s">
        <v>24</v>
      </c>
      <c r="O13" s="19" t="s">
        <v>24</v>
      </c>
      <c r="P13" s="19" t="s">
        <v>24</v>
      </c>
      <c r="Q13" s="18" t="s">
        <v>22</v>
      </c>
      <c r="R13" s="19" t="s">
        <v>24</v>
      </c>
      <c r="S13" s="19" t="s">
        <v>24</v>
      </c>
      <c r="T13" s="19" t="s">
        <v>25</v>
      </c>
      <c r="U13" s="19" t="s">
        <v>25</v>
      </c>
      <c r="V13" s="18" t="s">
        <v>22</v>
      </c>
      <c r="W13" s="19" t="s">
        <v>24</v>
      </c>
      <c r="X13" s="19" t="s">
        <v>24</v>
      </c>
      <c r="Y13" s="19" t="s">
        <v>24</v>
      </c>
      <c r="Z13" s="19" t="s">
        <v>25</v>
      </c>
      <c r="AA13" s="18" t="s">
        <v>22</v>
      </c>
      <c r="AB13" s="19" t="s">
        <v>24</v>
      </c>
      <c r="AC13" s="19" t="s">
        <v>25</v>
      </c>
      <c r="AD13" s="19" t="s">
        <v>25</v>
      </c>
      <c r="AE13" s="18" t="s">
        <v>22</v>
      </c>
      <c r="AF13" s="19" t="s">
        <v>26</v>
      </c>
      <c r="AG13" s="19" t="s">
        <v>26</v>
      </c>
      <c r="AH13" s="19" t="s">
        <v>26</v>
      </c>
      <c r="AI13" s="18">
        <v>22.0</v>
      </c>
      <c r="AJ13" s="18">
        <v>25.0</v>
      </c>
      <c r="AK13" s="18">
        <v>6.0</v>
      </c>
      <c r="AL13" s="18">
        <v>3.0</v>
      </c>
      <c r="AM13" s="18">
        <v>0.0</v>
      </c>
      <c r="AN13" s="18">
        <f t="shared" si="7"/>
        <v>6.0</v>
      </c>
      <c r="AO13" s="18">
        <v>0.0</v>
      </c>
      <c r="AP13" s="18">
        <v>0.0</v>
      </c>
      <c r="AQ13" s="18">
        <v>10.0</v>
      </c>
      <c r="AR13" s="18">
        <v>0.0</v>
      </c>
      <c r="AS13" s="18">
        <f t="shared" si="9"/>
        <v>10.0</v>
      </c>
      <c r="AT13" s="10">
        <f t="shared" si="0"/>
        <v>6.0</v>
      </c>
      <c r="AU13" s="10">
        <f t="shared" si="1"/>
        <v>0.0</v>
      </c>
      <c r="AV13" s="10">
        <f t="shared" si="2"/>
        <v>14.0</v>
      </c>
      <c r="AW13" s="10">
        <f t="shared" si="3"/>
        <v>5.0</v>
      </c>
      <c r="AX13" s="10">
        <f t="shared" si="4"/>
        <v>6.0</v>
      </c>
      <c r="AY13" s="10">
        <f t="shared" si="5"/>
        <v>0.0</v>
      </c>
      <c r="AZ13" s="10">
        <f t="shared" si="6"/>
        <v>25.0</v>
      </c>
    </row>
    <row r="14" spans="8:8" ht="27.0" customHeight="1">
      <c r="A14" s="9">
        <v>11.0</v>
      </c>
      <c r="B14" s="10" t="s">
        <v>45</v>
      </c>
      <c r="C14" s="9" t="s">
        <v>39</v>
      </c>
      <c r="D14" s="20" t="s">
        <v>25</v>
      </c>
      <c r="E14" s="26" t="s">
        <v>25</v>
      </c>
      <c r="F14" s="20" t="s">
        <v>25</v>
      </c>
      <c r="G14" s="19" t="s">
        <v>25</v>
      </c>
      <c r="H14" s="18" t="s">
        <v>22</v>
      </c>
      <c r="I14" s="19" t="s">
        <v>24</v>
      </c>
      <c r="J14" s="19" t="s">
        <v>24</v>
      </c>
      <c r="K14" s="19" t="s">
        <v>24</v>
      </c>
      <c r="L14" s="18" t="s">
        <v>22</v>
      </c>
      <c r="M14" s="18" t="s">
        <v>22</v>
      </c>
      <c r="N14" s="19" t="s">
        <v>25</v>
      </c>
      <c r="O14" s="19" t="s">
        <v>25</v>
      </c>
      <c r="P14" s="19" t="s">
        <v>26</v>
      </c>
      <c r="Q14" s="19" t="s">
        <v>26</v>
      </c>
      <c r="R14" s="19" t="s">
        <v>26</v>
      </c>
      <c r="S14" s="19" t="s">
        <v>26</v>
      </c>
      <c r="T14" s="18" t="s">
        <v>22</v>
      </c>
      <c r="U14" s="19" t="s">
        <v>24</v>
      </c>
      <c r="V14" s="19" t="s">
        <v>24</v>
      </c>
      <c r="W14" s="19" t="s">
        <v>25</v>
      </c>
      <c r="X14" s="19" t="s">
        <v>25</v>
      </c>
      <c r="Y14" s="18" t="s">
        <v>22</v>
      </c>
      <c r="Z14" s="18" t="s">
        <v>22</v>
      </c>
      <c r="AA14" s="19" t="s">
        <v>25</v>
      </c>
      <c r="AB14" s="19" t="s">
        <v>25</v>
      </c>
      <c r="AC14" s="19" t="s">
        <v>42</v>
      </c>
      <c r="AD14" s="19" t="s">
        <v>42</v>
      </c>
      <c r="AE14" s="19" t="s">
        <v>25</v>
      </c>
      <c r="AF14" s="19" t="s">
        <v>25</v>
      </c>
      <c r="AG14" s="24" t="s">
        <v>25</v>
      </c>
      <c r="AH14" s="19" t="s">
        <v>42</v>
      </c>
      <c r="AI14" s="18">
        <v>19.0</v>
      </c>
      <c r="AJ14" s="18">
        <v>22.0</v>
      </c>
      <c r="AK14" s="18">
        <v>6.0</v>
      </c>
      <c r="AL14" s="18">
        <v>3.0</v>
      </c>
      <c r="AM14" s="18">
        <v>3.0</v>
      </c>
      <c r="AN14" s="18">
        <f t="shared" si="7"/>
        <v>9.0</v>
      </c>
      <c r="AO14" s="18">
        <v>0.0</v>
      </c>
      <c r="AP14" s="18">
        <v>0.0</v>
      </c>
      <c r="AQ14" s="18">
        <v>8.0</v>
      </c>
      <c r="AR14" s="18">
        <v>0.0</v>
      </c>
      <c r="AS14" s="18">
        <f t="shared" si="9"/>
        <v>5.0</v>
      </c>
      <c r="AT14" s="10">
        <f t="shared" si="0"/>
        <v>6.0</v>
      </c>
      <c r="AU14" s="10">
        <f t="shared" si="1"/>
        <v>0.0</v>
      </c>
      <c r="AV14" s="10">
        <f t="shared" si="2"/>
        <v>5.0</v>
      </c>
      <c r="AW14" s="10">
        <f t="shared" si="3"/>
        <v>13.0</v>
      </c>
      <c r="AX14" s="10">
        <f t="shared" si="4"/>
        <v>4.0</v>
      </c>
      <c r="AY14" s="10">
        <f t="shared" si="5"/>
        <v>0.0</v>
      </c>
      <c r="AZ14" s="10">
        <f t="shared" si="6"/>
        <v>22.0</v>
      </c>
    </row>
    <row r="15" spans="8:8" ht="27.0" customHeight="1">
      <c r="A15" s="9">
        <v>12.0</v>
      </c>
      <c r="B15" s="10" t="s">
        <v>46</v>
      </c>
      <c r="C15" s="9" t="s">
        <v>39</v>
      </c>
      <c r="D15" s="20" t="s">
        <v>25</v>
      </c>
      <c r="E15" s="26" t="s">
        <v>25</v>
      </c>
      <c r="F15" s="20" t="s">
        <v>25</v>
      </c>
      <c r="G15" s="18" t="s">
        <v>22</v>
      </c>
      <c r="H15" s="19" t="s">
        <v>24</v>
      </c>
      <c r="I15" s="19" t="s">
        <v>25</v>
      </c>
      <c r="J15" s="25" t="s">
        <v>25</v>
      </c>
      <c r="K15" s="19" t="s">
        <v>25</v>
      </c>
      <c r="L15" s="25" t="s">
        <v>25</v>
      </c>
      <c r="M15" s="19" t="s">
        <v>25</v>
      </c>
      <c r="N15" s="18" t="s">
        <v>22</v>
      </c>
      <c r="O15" s="19" t="s">
        <v>24</v>
      </c>
      <c r="P15" s="19" t="s">
        <v>24</v>
      </c>
      <c r="Q15" s="19" t="s">
        <v>24</v>
      </c>
      <c r="R15" s="19" t="s">
        <v>24</v>
      </c>
      <c r="S15" s="18" t="s">
        <v>22</v>
      </c>
      <c r="T15" s="19" t="s">
        <v>24</v>
      </c>
      <c r="U15" s="19" t="s">
        <v>24</v>
      </c>
      <c r="V15" s="19" t="s">
        <v>24</v>
      </c>
      <c r="W15" s="18" t="s">
        <v>22</v>
      </c>
      <c r="X15" s="19" t="s">
        <v>24</v>
      </c>
      <c r="Y15" s="19" t="s">
        <v>24</v>
      </c>
      <c r="Z15" s="19" t="s">
        <v>24</v>
      </c>
      <c r="AA15" s="18" t="s">
        <v>22</v>
      </c>
      <c r="AB15" s="19" t="s">
        <v>26</v>
      </c>
      <c r="AC15" s="19" t="s">
        <v>26</v>
      </c>
      <c r="AD15" s="19" t="s">
        <v>26</v>
      </c>
      <c r="AE15" s="19" t="s">
        <v>26</v>
      </c>
      <c r="AF15" s="18" t="s">
        <v>22</v>
      </c>
      <c r="AG15" s="19" t="s">
        <v>24</v>
      </c>
      <c r="AH15" s="19" t="s">
        <v>24</v>
      </c>
      <c r="AI15" s="18">
        <v>22.0</v>
      </c>
      <c r="AJ15" s="18">
        <v>25.0</v>
      </c>
      <c r="AK15" s="18">
        <v>6.0</v>
      </c>
      <c r="AL15" s="18">
        <v>3.0</v>
      </c>
      <c r="AM15" s="18">
        <v>0.0</v>
      </c>
      <c r="AN15" s="18">
        <f t="shared" si="7"/>
        <v>6.0</v>
      </c>
      <c r="AO15" s="18">
        <v>0.0</v>
      </c>
      <c r="AP15" s="18">
        <v>0.0</v>
      </c>
      <c r="AQ15" s="18">
        <v>5.0</v>
      </c>
      <c r="AR15" s="18">
        <v>0.0</v>
      </c>
      <c r="AS15" s="18">
        <f t="shared" si="9"/>
        <v>5.0</v>
      </c>
      <c r="AT15" s="10">
        <f t="shared" si="0"/>
        <v>6.0</v>
      </c>
      <c r="AU15" s="10">
        <f t="shared" si="1"/>
        <v>0.0</v>
      </c>
      <c r="AV15" s="10">
        <f t="shared" si="2"/>
        <v>13.0</v>
      </c>
      <c r="AW15" s="10">
        <f t="shared" si="3"/>
        <v>8.0</v>
      </c>
      <c r="AX15" s="10">
        <f t="shared" si="4"/>
        <v>4.0</v>
      </c>
      <c r="AY15" s="10">
        <f t="shared" si="5"/>
        <v>0.0</v>
      </c>
      <c r="AZ15" s="10">
        <f t="shared" si="6"/>
        <v>25.0</v>
      </c>
    </row>
    <row r="16" spans="8:8" ht="27.0" customHeight="1">
      <c r="A16" s="9">
        <v>13.0</v>
      </c>
      <c r="B16" s="10" t="s">
        <v>47</v>
      </c>
      <c r="C16" s="10" t="s">
        <v>37</v>
      </c>
      <c r="D16" s="27" t="s">
        <v>24</v>
      </c>
      <c r="E16" s="27" t="s">
        <v>24</v>
      </c>
      <c r="F16" s="28" t="s">
        <v>24</v>
      </c>
      <c r="G16" s="22" t="s">
        <v>27</v>
      </c>
      <c r="H16" s="22" t="s">
        <v>27</v>
      </c>
      <c r="I16" s="22" t="s">
        <v>27</v>
      </c>
      <c r="J16" s="22" t="s">
        <v>27</v>
      </c>
      <c r="K16" s="18" t="s">
        <v>22</v>
      </c>
      <c r="L16" s="21" t="s">
        <v>27</v>
      </c>
      <c r="M16" s="22" t="s">
        <v>27</v>
      </c>
      <c r="N16" s="18" t="s">
        <v>22</v>
      </c>
      <c r="O16" s="22" t="s">
        <v>24</v>
      </c>
      <c r="P16" s="22" t="s">
        <v>24</v>
      </c>
      <c r="Q16" s="22" t="s">
        <v>24</v>
      </c>
      <c r="R16" s="22" t="s">
        <v>24</v>
      </c>
      <c r="S16" s="22" t="s">
        <v>24</v>
      </c>
      <c r="T16" s="18" t="s">
        <v>22</v>
      </c>
      <c r="U16" s="22" t="s">
        <v>24</v>
      </c>
      <c r="V16" s="22" t="s">
        <v>24</v>
      </c>
      <c r="W16" s="22" t="s">
        <v>24</v>
      </c>
      <c r="X16" s="22" t="s">
        <v>24</v>
      </c>
      <c r="Y16" s="22" t="s">
        <v>24</v>
      </c>
      <c r="Z16" s="18" t="s">
        <v>22</v>
      </c>
      <c r="AA16" s="22" t="s">
        <v>24</v>
      </c>
      <c r="AB16" s="22" t="s">
        <v>24</v>
      </c>
      <c r="AC16" s="18" t="s">
        <v>22</v>
      </c>
      <c r="AD16" s="22" t="s">
        <v>24</v>
      </c>
      <c r="AE16" s="22" t="s">
        <v>24</v>
      </c>
      <c r="AF16" s="22" t="s">
        <v>24</v>
      </c>
      <c r="AG16" s="18" t="s">
        <v>22</v>
      </c>
      <c r="AH16" s="22" t="s">
        <v>24</v>
      </c>
      <c r="AI16" s="18">
        <v>22.0</v>
      </c>
      <c r="AJ16" s="18">
        <v>25.0</v>
      </c>
      <c r="AK16" s="18">
        <v>6.0</v>
      </c>
      <c r="AL16" s="18">
        <v>3.0</v>
      </c>
      <c r="AM16" s="18">
        <v>0.0</v>
      </c>
      <c r="AN16" s="18">
        <f t="shared" si="7"/>
        <v>6.0</v>
      </c>
      <c r="AO16" s="18">
        <v>0.0</v>
      </c>
      <c r="AP16" s="18">
        <v>3.0</v>
      </c>
      <c r="AQ16" s="18">
        <v>0.0</v>
      </c>
      <c r="AR16" s="18">
        <v>0.0</v>
      </c>
      <c r="AS16" s="18">
        <f t="shared" si="9"/>
        <v>3.0</v>
      </c>
      <c r="AT16" s="10">
        <f t="shared" si="0"/>
        <v>6.0</v>
      </c>
      <c r="AU16" s="10">
        <f t="shared" si="1"/>
        <v>0.0</v>
      </c>
      <c r="AV16" s="10">
        <f t="shared" si="2"/>
        <v>19.0</v>
      </c>
      <c r="AW16" s="10">
        <f t="shared" si="3"/>
        <v>0.0</v>
      </c>
      <c r="AX16" s="10">
        <f t="shared" si="4"/>
        <v>0.0</v>
      </c>
      <c r="AY16" s="10">
        <f t="shared" si="5"/>
        <v>6.0</v>
      </c>
      <c r="AZ16" s="10">
        <f t="shared" si="6"/>
        <v>25.0</v>
      </c>
    </row>
    <row r="17" spans="8:8" ht="27.0" customHeight="1">
      <c r="A17" s="9">
        <v>14.0</v>
      </c>
      <c r="B17" s="10" t="s">
        <v>48</v>
      </c>
      <c r="C17" s="10" t="s">
        <v>49</v>
      </c>
      <c r="D17" s="29" t="s">
        <v>26</v>
      </c>
      <c r="E17" s="30" t="s">
        <v>26</v>
      </c>
      <c r="F17" s="31" t="s">
        <v>26</v>
      </c>
      <c r="G17" s="32" t="s">
        <v>26</v>
      </c>
      <c r="H17" s="32" t="s">
        <v>26</v>
      </c>
      <c r="I17" s="32" t="s">
        <v>26</v>
      </c>
      <c r="J17" s="18" t="s">
        <v>22</v>
      </c>
      <c r="K17" s="32" t="s">
        <v>25</v>
      </c>
      <c r="L17" s="32" t="s">
        <v>25</v>
      </c>
      <c r="M17" s="33" t="s">
        <v>25</v>
      </c>
      <c r="N17" s="18" t="s">
        <v>22</v>
      </c>
      <c r="O17" s="18" t="s">
        <v>22</v>
      </c>
      <c r="P17" s="32" t="s">
        <v>26</v>
      </c>
      <c r="Q17" s="32" t="s">
        <v>26</v>
      </c>
      <c r="R17" s="32" t="s">
        <v>26</v>
      </c>
      <c r="S17" s="32" t="s">
        <v>26</v>
      </c>
      <c r="T17" s="32" t="s">
        <v>26</v>
      </c>
      <c r="U17" s="32" t="s">
        <v>26</v>
      </c>
      <c r="V17" s="18" t="s">
        <v>22</v>
      </c>
      <c r="W17" s="32" t="s">
        <v>26</v>
      </c>
      <c r="X17" s="32" t="s">
        <v>26</v>
      </c>
      <c r="Y17" s="32" t="s">
        <v>26</v>
      </c>
      <c r="Z17" s="32" t="s">
        <v>26</v>
      </c>
      <c r="AA17" s="18" t="s">
        <v>22</v>
      </c>
      <c r="AB17" s="32" t="s">
        <v>25</v>
      </c>
      <c r="AC17" s="32" t="s">
        <v>25</v>
      </c>
      <c r="AD17" s="32" t="s">
        <v>25</v>
      </c>
      <c r="AE17" s="18" t="s">
        <v>22</v>
      </c>
      <c r="AF17" s="32" t="s">
        <v>26</v>
      </c>
      <c r="AG17" s="32" t="s">
        <v>26</v>
      </c>
      <c r="AH17" s="32" t="s">
        <v>26</v>
      </c>
      <c r="AI17" s="18">
        <v>22.0</v>
      </c>
      <c r="AJ17" s="18">
        <v>25.0</v>
      </c>
      <c r="AK17" s="18">
        <v>6.0</v>
      </c>
      <c r="AL17" s="18">
        <v>3.0</v>
      </c>
      <c r="AM17" s="18">
        <v>0.0</v>
      </c>
      <c r="AN17" s="18">
        <f t="shared" si="7"/>
        <v>6.0</v>
      </c>
      <c r="AO17" s="18">
        <v>0.0</v>
      </c>
      <c r="AP17" s="18">
        <v>0.0</v>
      </c>
      <c r="AQ17" s="18">
        <v>10.0</v>
      </c>
      <c r="AR17" s="18">
        <v>0.0</v>
      </c>
      <c r="AS17" s="18">
        <f t="shared" si="9"/>
        <v>10.0</v>
      </c>
      <c r="AT17" s="10">
        <f t="shared" si="0"/>
        <v>6.0</v>
      </c>
      <c r="AU17" s="10">
        <f t="shared" si="1"/>
        <v>0.0</v>
      </c>
      <c r="AV17" s="10">
        <f t="shared" si="2"/>
        <v>0.0</v>
      </c>
      <c r="AW17" s="10">
        <f t="shared" si="3"/>
        <v>6.0</v>
      </c>
      <c r="AX17" s="10">
        <f t="shared" si="4"/>
        <v>19.0</v>
      </c>
      <c r="AY17" s="10">
        <f t="shared" si="5"/>
        <v>0.0</v>
      </c>
      <c r="AZ17" s="10">
        <f t="shared" si="6"/>
        <v>25.0</v>
      </c>
    </row>
    <row r="18" spans="8:8" ht="27.0" customHeight="1">
      <c r="A18" s="9">
        <v>15.0</v>
      </c>
      <c r="B18" s="10" t="s">
        <v>50</v>
      </c>
      <c r="C18" s="10" t="s">
        <v>49</v>
      </c>
      <c r="D18" s="29" t="s">
        <v>25</v>
      </c>
      <c r="E18" s="30" t="s">
        <v>25</v>
      </c>
      <c r="F18" s="31" t="s">
        <v>25</v>
      </c>
      <c r="G18" s="18" t="s">
        <v>22</v>
      </c>
      <c r="H18" s="32" t="s">
        <v>24</v>
      </c>
      <c r="I18" s="32" t="s">
        <v>24</v>
      </c>
      <c r="J18" s="32" t="s">
        <v>26</v>
      </c>
      <c r="K18" s="32" t="s">
        <v>26</v>
      </c>
      <c r="L18" s="32" t="s">
        <v>26</v>
      </c>
      <c r="M18" s="32" t="s">
        <v>26</v>
      </c>
      <c r="N18" s="32" t="s">
        <v>26</v>
      </c>
      <c r="O18" s="32" t="s">
        <v>26</v>
      </c>
      <c r="P18" s="32" t="s">
        <v>26</v>
      </c>
      <c r="Q18" s="32" t="s">
        <v>26</v>
      </c>
      <c r="R18" s="18" t="s">
        <v>22</v>
      </c>
      <c r="S18" s="18" t="s">
        <v>22</v>
      </c>
      <c r="T18" s="32" t="s">
        <v>24</v>
      </c>
      <c r="U18" s="32" t="s">
        <v>24</v>
      </c>
      <c r="V18" s="32" t="s">
        <v>25</v>
      </c>
      <c r="W18" s="18" t="s">
        <v>22</v>
      </c>
      <c r="X18" s="32" t="s">
        <v>25</v>
      </c>
      <c r="Y18" s="32" t="s">
        <v>25</v>
      </c>
      <c r="Z18" s="32" t="s">
        <v>25</v>
      </c>
      <c r="AA18" s="32" t="s">
        <v>25</v>
      </c>
      <c r="AB18" s="18" t="s">
        <v>22</v>
      </c>
      <c r="AC18" s="32" t="s">
        <v>25</v>
      </c>
      <c r="AD18" s="32" t="s">
        <v>25</v>
      </c>
      <c r="AE18" s="32" t="s">
        <v>25</v>
      </c>
      <c r="AF18" s="32" t="s">
        <v>25</v>
      </c>
      <c r="AG18" s="32" t="s">
        <v>25</v>
      </c>
      <c r="AH18" s="18" t="s">
        <v>22</v>
      </c>
      <c r="AI18" s="18">
        <v>22.0</v>
      </c>
      <c r="AJ18" s="18">
        <v>25.0</v>
      </c>
      <c r="AK18" s="18">
        <v>6.0</v>
      </c>
      <c r="AL18" s="18">
        <v>3.0</v>
      </c>
      <c r="AM18" s="18">
        <v>0.0</v>
      </c>
      <c r="AN18" s="18">
        <f t="shared" si="7"/>
        <v>6.0</v>
      </c>
      <c r="AO18" s="18">
        <v>0.0</v>
      </c>
      <c r="AP18" s="18">
        <v>0.0</v>
      </c>
      <c r="AQ18" s="18">
        <v>10.0</v>
      </c>
      <c r="AR18" s="18">
        <v>0.0</v>
      </c>
      <c r="AS18" s="18">
        <f t="shared" si="9"/>
        <v>10.0</v>
      </c>
      <c r="AT18" s="10">
        <f t="shared" si="0"/>
        <v>6.0</v>
      </c>
      <c r="AU18" s="10">
        <f t="shared" si="1"/>
        <v>0.0</v>
      </c>
      <c r="AV18" s="10">
        <f t="shared" si="2"/>
        <v>4.0</v>
      </c>
      <c r="AW18" s="10">
        <f t="shared" si="3"/>
        <v>13.0</v>
      </c>
      <c r="AX18" s="10">
        <f t="shared" si="4"/>
        <v>8.0</v>
      </c>
      <c r="AY18" s="10">
        <f t="shared" si="5"/>
        <v>0.0</v>
      </c>
      <c r="AZ18" s="10">
        <f t="shared" si="6"/>
        <v>25.0</v>
      </c>
    </row>
    <row r="19" spans="8:8" ht="27.0" customHeight="1">
      <c r="A19" s="9">
        <v>16.0</v>
      </c>
      <c r="B19" s="10" t="s">
        <v>51</v>
      </c>
      <c r="C19" s="10" t="s">
        <v>49</v>
      </c>
      <c r="D19" s="29" t="s">
        <v>25</v>
      </c>
      <c r="E19" s="30" t="s">
        <v>25</v>
      </c>
      <c r="F19" s="31" t="s">
        <v>25</v>
      </c>
      <c r="G19" s="32" t="s">
        <v>25</v>
      </c>
      <c r="H19" s="32" t="s">
        <v>25</v>
      </c>
      <c r="I19" s="32" t="s">
        <v>25</v>
      </c>
      <c r="J19" s="18" t="s">
        <v>22</v>
      </c>
      <c r="K19" s="32" t="s">
        <v>24</v>
      </c>
      <c r="L19" s="32" t="s">
        <v>24</v>
      </c>
      <c r="M19" s="18" t="s">
        <v>22</v>
      </c>
      <c r="N19" s="32" t="s">
        <v>25</v>
      </c>
      <c r="O19" s="32" t="s">
        <v>25</v>
      </c>
      <c r="P19" s="32" t="s">
        <v>25</v>
      </c>
      <c r="Q19" s="32" t="s">
        <v>25</v>
      </c>
      <c r="R19" s="32" t="s">
        <v>25</v>
      </c>
      <c r="S19" s="18" t="s">
        <v>22</v>
      </c>
      <c r="T19" s="32" t="s">
        <v>25</v>
      </c>
      <c r="U19" s="32" t="s">
        <v>25</v>
      </c>
      <c r="V19" s="32" t="s">
        <v>26</v>
      </c>
      <c r="W19" s="32" t="s">
        <v>26</v>
      </c>
      <c r="X19" s="32" t="s">
        <v>26</v>
      </c>
      <c r="Y19" s="32" t="s">
        <v>26</v>
      </c>
      <c r="Z19" s="18" t="s">
        <v>22</v>
      </c>
      <c r="AA19" s="32" t="s">
        <v>24</v>
      </c>
      <c r="AB19" s="32" t="s">
        <v>24</v>
      </c>
      <c r="AC19" s="32" t="s">
        <v>24</v>
      </c>
      <c r="AD19" s="18" t="s">
        <v>22</v>
      </c>
      <c r="AE19" s="18" t="s">
        <v>22</v>
      </c>
      <c r="AF19" s="32" t="s">
        <v>25</v>
      </c>
      <c r="AG19" s="32" t="s">
        <v>25</v>
      </c>
      <c r="AH19" s="32" t="s">
        <v>25</v>
      </c>
      <c r="AI19" s="18">
        <v>22.0</v>
      </c>
      <c r="AJ19" s="18">
        <v>25.0</v>
      </c>
      <c r="AK19" s="18">
        <v>6.0</v>
      </c>
      <c r="AL19" s="18">
        <v>3.0</v>
      </c>
      <c r="AM19" s="18">
        <v>0.0</v>
      </c>
      <c r="AN19" s="18">
        <f t="shared" si="7"/>
        <v>6.0</v>
      </c>
      <c r="AO19" s="18">
        <v>0.0</v>
      </c>
      <c r="AP19" s="18">
        <v>1.0</v>
      </c>
      <c r="AQ19" s="18">
        <v>0.0</v>
      </c>
      <c r="AR19" s="18">
        <v>0.0</v>
      </c>
      <c r="AS19" s="18">
        <f t="shared" si="9"/>
        <v>1.0</v>
      </c>
      <c r="AT19" s="10">
        <f t="shared" si="0"/>
        <v>6.0</v>
      </c>
      <c r="AU19" s="10">
        <f t="shared" si="1"/>
        <v>0.0</v>
      </c>
      <c r="AV19" s="10">
        <f t="shared" si="2"/>
        <v>5.0</v>
      </c>
      <c r="AW19" s="10">
        <f t="shared" si="3"/>
        <v>16.0</v>
      </c>
      <c r="AX19" s="10">
        <f t="shared" si="4"/>
        <v>4.0</v>
      </c>
      <c r="AY19" s="10">
        <f t="shared" si="5"/>
        <v>0.0</v>
      </c>
      <c r="AZ19" s="10">
        <f t="shared" si="6"/>
        <v>25.0</v>
      </c>
    </row>
    <row r="20" spans="8:8" ht="27.0" customHeight="1">
      <c r="A20" s="9">
        <v>17.0</v>
      </c>
      <c r="B20" s="10" t="s">
        <v>52</v>
      </c>
      <c r="C20" s="10" t="s">
        <v>49</v>
      </c>
      <c r="D20" s="29" t="s">
        <v>25</v>
      </c>
      <c r="E20" s="30" t="s">
        <v>25</v>
      </c>
      <c r="F20" s="31" t="s">
        <v>25</v>
      </c>
      <c r="G20" s="32" t="s">
        <v>25</v>
      </c>
      <c r="H20" s="32" t="s">
        <v>25</v>
      </c>
      <c r="I20" s="18" t="s">
        <v>22</v>
      </c>
      <c r="J20" s="32" t="s">
        <v>24</v>
      </c>
      <c r="K20" s="32" t="s">
        <v>24</v>
      </c>
      <c r="L20" s="18" t="s">
        <v>24</v>
      </c>
      <c r="M20" s="32" t="s">
        <v>24</v>
      </c>
      <c r="N20" s="32" t="s">
        <v>24</v>
      </c>
      <c r="O20" s="18" t="s">
        <v>22</v>
      </c>
      <c r="P20" s="32" t="s">
        <v>24</v>
      </c>
      <c r="Q20" s="32" t="s">
        <v>24</v>
      </c>
      <c r="R20" s="32" t="s">
        <v>24</v>
      </c>
      <c r="S20" s="32" t="s">
        <v>24</v>
      </c>
      <c r="T20" s="32" t="s">
        <v>22</v>
      </c>
      <c r="U20" s="18" t="s">
        <v>22</v>
      </c>
      <c r="V20" s="32" t="s">
        <v>24</v>
      </c>
      <c r="W20" s="32" t="s">
        <v>24</v>
      </c>
      <c r="X20" s="32" t="s">
        <v>24</v>
      </c>
      <c r="Y20" s="18" t="s">
        <v>22</v>
      </c>
      <c r="Z20" s="32" t="s">
        <v>24</v>
      </c>
      <c r="AA20" s="32" t="s">
        <v>26</v>
      </c>
      <c r="AB20" s="32" t="s">
        <v>26</v>
      </c>
      <c r="AC20" s="32" t="s">
        <v>26</v>
      </c>
      <c r="AD20" s="32" t="s">
        <v>26</v>
      </c>
      <c r="AE20" s="32" t="s">
        <v>26</v>
      </c>
      <c r="AF20" s="18" t="s">
        <v>22</v>
      </c>
      <c r="AG20" s="32" t="s">
        <v>24</v>
      </c>
      <c r="AH20" s="32" t="s">
        <v>24</v>
      </c>
      <c r="AI20" s="18">
        <v>22.0</v>
      </c>
      <c r="AJ20" s="18">
        <v>25.0</v>
      </c>
      <c r="AK20" s="18">
        <v>6.0</v>
      </c>
      <c r="AL20" s="18">
        <v>3.0</v>
      </c>
      <c r="AM20" s="18">
        <v>0.0</v>
      </c>
      <c r="AN20" s="18">
        <f t="shared" si="7"/>
        <v>6.0</v>
      </c>
      <c r="AO20" s="18">
        <v>0.0</v>
      </c>
      <c r="AP20" s="18">
        <v>0.0</v>
      </c>
      <c r="AQ20" s="18">
        <v>10.0</v>
      </c>
      <c r="AR20" s="18">
        <v>0.0</v>
      </c>
      <c r="AS20" s="18">
        <v>10.0</v>
      </c>
      <c r="AT20" s="10">
        <f t="shared" si="0"/>
        <v>6.0</v>
      </c>
      <c r="AU20" s="10">
        <f t="shared" si="1"/>
        <v>0.0</v>
      </c>
      <c r="AV20" s="10">
        <f t="shared" si="2"/>
        <v>15.0</v>
      </c>
      <c r="AW20" s="10">
        <f t="shared" si="3"/>
        <v>5.0</v>
      </c>
      <c r="AX20" s="10">
        <f t="shared" si="4"/>
        <v>5.0</v>
      </c>
      <c r="AY20" s="10">
        <f t="shared" si="5"/>
        <v>0.0</v>
      </c>
      <c r="AZ20" s="10">
        <f t="shared" si="6"/>
        <v>25.0</v>
      </c>
    </row>
    <row r="21" spans="8:8" ht="27.0" customHeight="1">
      <c r="A21" s="9">
        <v>18.0</v>
      </c>
      <c r="B21" s="10" t="s">
        <v>53</v>
      </c>
      <c r="C21" s="10" t="s">
        <v>49</v>
      </c>
      <c r="D21" s="29" t="s">
        <v>24</v>
      </c>
      <c r="E21" s="30" t="s">
        <v>24</v>
      </c>
      <c r="F21" s="31" t="s">
        <v>24</v>
      </c>
      <c r="G21" s="32" t="s">
        <v>24</v>
      </c>
      <c r="H21" s="18" t="s">
        <v>22</v>
      </c>
      <c r="I21" s="32" t="s">
        <v>25</v>
      </c>
      <c r="J21" s="32" t="s">
        <v>25</v>
      </c>
      <c r="K21" s="32" t="s">
        <v>26</v>
      </c>
      <c r="L21" s="32" t="s">
        <v>26</v>
      </c>
      <c r="M21" s="32" t="s">
        <v>26</v>
      </c>
      <c r="N21" s="32" t="s">
        <v>26</v>
      </c>
      <c r="O21" s="32" t="s">
        <v>26</v>
      </c>
      <c r="P21" s="18" t="s">
        <v>22</v>
      </c>
      <c r="Q21" s="32" t="s">
        <v>25</v>
      </c>
      <c r="R21" s="32" t="s">
        <v>25</v>
      </c>
      <c r="S21" s="32" t="s">
        <v>25</v>
      </c>
      <c r="T21" s="18" t="s">
        <v>22</v>
      </c>
      <c r="U21" s="32" t="s">
        <v>25</v>
      </c>
      <c r="V21" s="32" t="s">
        <v>25</v>
      </c>
      <c r="W21" s="32" t="s">
        <v>25</v>
      </c>
      <c r="X21" s="18" t="s">
        <v>22</v>
      </c>
      <c r="Y21" s="32" t="s">
        <v>24</v>
      </c>
      <c r="Z21" s="32" t="s">
        <v>26</v>
      </c>
      <c r="AA21" s="32" t="s">
        <v>26</v>
      </c>
      <c r="AB21" s="32" t="s">
        <v>26</v>
      </c>
      <c r="AC21" s="32" t="s">
        <v>26</v>
      </c>
      <c r="AD21" s="18" t="s">
        <v>22</v>
      </c>
      <c r="AE21" s="32" t="s">
        <v>24</v>
      </c>
      <c r="AF21" s="32" t="s">
        <v>24</v>
      </c>
      <c r="AG21" s="32" t="s">
        <v>24</v>
      </c>
      <c r="AH21" s="18" t="s">
        <v>22</v>
      </c>
      <c r="AI21" s="18">
        <v>22.0</v>
      </c>
      <c r="AJ21" s="18">
        <v>25.0</v>
      </c>
      <c r="AK21" s="18">
        <v>6.0</v>
      </c>
      <c r="AL21" s="18">
        <v>3.0</v>
      </c>
      <c r="AM21" s="18">
        <v>0.0</v>
      </c>
      <c r="AN21" s="18">
        <f t="shared" si="7"/>
        <v>6.0</v>
      </c>
      <c r="AO21" s="18">
        <v>0.0</v>
      </c>
      <c r="AP21" s="18">
        <v>0.0</v>
      </c>
      <c r="AQ21" s="18">
        <v>8.0</v>
      </c>
      <c r="AR21" s="18">
        <v>0.0</v>
      </c>
      <c r="AS21" s="18">
        <f t="shared" si="10" ref="AS21:AS24">AR21+AQ21+AP21-AM21</f>
        <v>8.0</v>
      </c>
      <c r="AT21" s="10">
        <f t="shared" si="0"/>
        <v>6.0</v>
      </c>
      <c r="AU21" s="10">
        <f t="shared" si="1"/>
        <v>0.0</v>
      </c>
      <c r="AV21" s="10">
        <f t="shared" si="2"/>
        <v>8.0</v>
      </c>
      <c r="AW21" s="10">
        <f t="shared" si="3"/>
        <v>8.0</v>
      </c>
      <c r="AX21" s="10">
        <f t="shared" si="4"/>
        <v>9.0</v>
      </c>
      <c r="AY21" s="10">
        <f t="shared" si="5"/>
        <v>0.0</v>
      </c>
      <c r="AZ21" s="10">
        <f t="shared" si="6"/>
        <v>25.0</v>
      </c>
    </row>
    <row r="22" spans="8:8" ht="27.0" customHeight="1">
      <c r="A22" s="9">
        <v>19.0</v>
      </c>
      <c r="B22" s="10" t="s">
        <v>54</v>
      </c>
      <c r="C22" s="10" t="s">
        <v>49</v>
      </c>
      <c r="D22" s="31" t="s">
        <v>26</v>
      </c>
      <c r="E22" s="30" t="s">
        <v>26</v>
      </c>
      <c r="F22" s="31" t="s">
        <v>26</v>
      </c>
      <c r="G22" s="18" t="s">
        <v>22</v>
      </c>
      <c r="H22" s="19" t="s">
        <v>24</v>
      </c>
      <c r="I22" s="19" t="s">
        <v>24</v>
      </c>
      <c r="J22" s="19" t="s">
        <v>24</v>
      </c>
      <c r="K22" s="19" t="s">
        <v>25</v>
      </c>
      <c r="L22" s="32" t="s">
        <v>25</v>
      </c>
      <c r="M22" s="32" t="s">
        <v>25</v>
      </c>
      <c r="N22" s="32" t="s">
        <v>25</v>
      </c>
      <c r="O22" s="32" t="s">
        <v>25</v>
      </c>
      <c r="P22" s="18" t="s">
        <v>22</v>
      </c>
      <c r="Q22" s="18" t="s">
        <v>22</v>
      </c>
      <c r="R22" s="32" t="s">
        <v>26</v>
      </c>
      <c r="S22" s="32" t="s">
        <v>26</v>
      </c>
      <c r="T22" s="32" t="s">
        <v>26</v>
      </c>
      <c r="U22" s="32" t="s">
        <v>26</v>
      </c>
      <c r="V22" s="32" t="s">
        <v>26</v>
      </c>
      <c r="W22" s="18" t="s">
        <v>22</v>
      </c>
      <c r="X22" s="32" t="s">
        <v>25</v>
      </c>
      <c r="Y22" s="32" t="s">
        <v>25</v>
      </c>
      <c r="Z22" s="32" t="s">
        <v>25</v>
      </c>
      <c r="AA22" s="32" t="s">
        <v>25</v>
      </c>
      <c r="AB22" s="18" t="s">
        <v>22</v>
      </c>
      <c r="AC22" s="18" t="s">
        <v>22</v>
      </c>
      <c r="AD22" s="32" t="s">
        <v>26</v>
      </c>
      <c r="AE22" s="32" t="s">
        <v>26</v>
      </c>
      <c r="AF22" s="32" t="s">
        <v>26</v>
      </c>
      <c r="AG22" s="32" t="s">
        <v>26</v>
      </c>
      <c r="AH22" s="32" t="s">
        <v>26</v>
      </c>
      <c r="AI22" s="18">
        <v>22.0</v>
      </c>
      <c r="AJ22" s="18">
        <v>25.0</v>
      </c>
      <c r="AK22" s="18">
        <v>6.0</v>
      </c>
      <c r="AL22" s="18">
        <v>3.0</v>
      </c>
      <c r="AM22" s="18">
        <v>0.0</v>
      </c>
      <c r="AN22" s="18">
        <f t="shared" si="7"/>
        <v>6.0</v>
      </c>
      <c r="AO22" s="18">
        <v>0.0</v>
      </c>
      <c r="AP22" s="18">
        <v>0.0</v>
      </c>
      <c r="AQ22" s="18">
        <v>3.0</v>
      </c>
      <c r="AR22" s="18">
        <v>0.0</v>
      </c>
      <c r="AS22" s="18">
        <f t="shared" si="10"/>
        <v>3.0</v>
      </c>
      <c r="AT22" s="10">
        <f t="shared" si="0"/>
        <v>6.0</v>
      </c>
      <c r="AU22" s="10">
        <f t="shared" si="1"/>
        <v>0.0</v>
      </c>
      <c r="AV22" s="10">
        <f t="shared" si="2"/>
        <v>3.0</v>
      </c>
      <c r="AW22" s="10">
        <f t="shared" si="3"/>
        <v>9.0</v>
      </c>
      <c r="AX22" s="10">
        <f t="shared" si="4"/>
        <v>13.0</v>
      </c>
      <c r="AY22" s="10">
        <f t="shared" si="5"/>
        <v>0.0</v>
      </c>
      <c r="AZ22" s="10">
        <f t="shared" si="6"/>
        <v>25.0</v>
      </c>
    </row>
    <row r="23" spans="8:8" ht="27.0" customHeight="1">
      <c r="A23" s="9">
        <v>20.0</v>
      </c>
      <c r="B23" s="10" t="s">
        <v>55</v>
      </c>
      <c r="C23" s="10" t="s">
        <v>49</v>
      </c>
      <c r="D23" s="34" t="s">
        <v>25</v>
      </c>
      <c r="E23" s="34" t="s">
        <v>25</v>
      </c>
      <c r="F23" s="26" t="s">
        <v>25</v>
      </c>
      <c r="G23" s="18" t="s">
        <v>22</v>
      </c>
      <c r="H23" s="25" t="s">
        <v>24</v>
      </c>
      <c r="I23" s="25" t="s">
        <v>24</v>
      </c>
      <c r="J23" s="25" t="s">
        <v>24</v>
      </c>
      <c r="K23" s="25" t="s">
        <v>24</v>
      </c>
      <c r="L23" s="35" t="s">
        <v>24</v>
      </c>
      <c r="M23" s="25" t="s">
        <v>24</v>
      </c>
      <c r="N23" s="36" t="s">
        <v>24</v>
      </c>
      <c r="O23" s="18" t="s">
        <v>22</v>
      </c>
      <c r="P23" s="25" t="s">
        <v>25</v>
      </c>
      <c r="Q23" s="25" t="s">
        <v>25</v>
      </c>
      <c r="R23" s="25" t="s">
        <v>25</v>
      </c>
      <c r="S23" s="18" t="s">
        <v>22</v>
      </c>
      <c r="T23" s="25" t="s">
        <v>24</v>
      </c>
      <c r="U23" s="25" t="s">
        <v>24</v>
      </c>
      <c r="V23" s="25" t="s">
        <v>24</v>
      </c>
      <c r="W23" s="25" t="s">
        <v>24</v>
      </c>
      <c r="X23" s="25" t="s">
        <v>24</v>
      </c>
      <c r="Y23" s="25" t="s">
        <v>24</v>
      </c>
      <c r="Z23" s="25" t="s">
        <v>24</v>
      </c>
      <c r="AA23" s="18" t="s">
        <v>22</v>
      </c>
      <c r="AB23" s="25" t="s">
        <v>25</v>
      </c>
      <c r="AC23" s="25" t="s">
        <v>25</v>
      </c>
      <c r="AD23" s="25" t="s">
        <v>25</v>
      </c>
      <c r="AE23" s="25" t="s">
        <v>25</v>
      </c>
      <c r="AF23" s="18" t="s">
        <v>22</v>
      </c>
      <c r="AG23" s="18" t="s">
        <v>22</v>
      </c>
      <c r="AH23" s="25" t="s">
        <v>24</v>
      </c>
      <c r="AI23" s="18">
        <v>22.0</v>
      </c>
      <c r="AJ23" s="18">
        <v>25.0</v>
      </c>
      <c r="AK23" s="18">
        <v>6.0</v>
      </c>
      <c r="AL23" s="18">
        <v>3.0</v>
      </c>
      <c r="AM23" s="18">
        <v>0.0</v>
      </c>
      <c r="AN23" s="18">
        <f t="shared" si="7"/>
        <v>6.0</v>
      </c>
      <c r="AO23" s="18">
        <v>0.0</v>
      </c>
      <c r="AP23" s="18">
        <v>0.0</v>
      </c>
      <c r="AQ23" s="18">
        <v>1.0</v>
      </c>
      <c r="AR23" s="18">
        <v>0.0</v>
      </c>
      <c r="AS23" s="18">
        <f t="shared" si="10"/>
        <v>1.0</v>
      </c>
      <c r="AT23" s="10">
        <f t="shared" si="0"/>
        <v>6.0</v>
      </c>
      <c r="AU23" s="10">
        <f t="shared" si="1"/>
        <v>0.0</v>
      </c>
      <c r="AV23" s="10">
        <f t="shared" si="2"/>
        <v>15.0</v>
      </c>
      <c r="AW23" s="10">
        <f t="shared" si="3"/>
        <v>10.0</v>
      </c>
      <c r="AX23" s="10">
        <f t="shared" si="4"/>
        <v>0.0</v>
      </c>
      <c r="AY23" s="10">
        <f t="shared" si="5"/>
        <v>0.0</v>
      </c>
      <c r="AZ23" s="10">
        <f t="shared" si="6"/>
        <v>25.0</v>
      </c>
    </row>
    <row r="24" spans="8:8" ht="27.0" customHeight="1">
      <c r="A24" s="9">
        <v>21.0</v>
      </c>
      <c r="B24" s="10" t="s">
        <v>56</v>
      </c>
      <c r="C24" s="10" t="s">
        <v>49</v>
      </c>
      <c r="D24" s="37" t="s">
        <v>24</v>
      </c>
      <c r="E24" s="37" t="s">
        <v>24</v>
      </c>
      <c r="F24" s="38" t="s">
        <v>24</v>
      </c>
      <c r="G24" s="39" t="s">
        <v>24</v>
      </c>
      <c r="H24" s="18" t="s">
        <v>22</v>
      </c>
      <c r="I24" s="18" t="s">
        <v>22</v>
      </c>
      <c r="J24" s="39" t="s">
        <v>25</v>
      </c>
      <c r="K24" s="39" t="s">
        <v>25</v>
      </c>
      <c r="L24" s="13" t="s">
        <v>25</v>
      </c>
      <c r="M24" s="13" t="s">
        <v>25</v>
      </c>
      <c r="N24" s="18" t="s">
        <v>22</v>
      </c>
      <c r="O24" s="39" t="s">
        <v>24</v>
      </c>
      <c r="P24" s="39" t="s">
        <v>24</v>
      </c>
      <c r="Q24" s="39" t="s">
        <v>24</v>
      </c>
      <c r="R24" s="39" t="s">
        <v>24</v>
      </c>
      <c r="S24" s="39" t="s">
        <v>25</v>
      </c>
      <c r="T24" s="39" t="s">
        <v>25</v>
      </c>
      <c r="U24" s="18" t="s">
        <v>22</v>
      </c>
      <c r="V24" s="18" t="s">
        <v>22</v>
      </c>
      <c r="W24" s="39" t="s">
        <v>25</v>
      </c>
      <c r="X24" s="39" t="s">
        <v>25</v>
      </c>
      <c r="Y24" s="39" t="s">
        <v>25</v>
      </c>
      <c r="Z24" s="39" t="s">
        <v>25</v>
      </c>
      <c r="AA24" s="39" t="s">
        <v>25</v>
      </c>
      <c r="AB24" s="18" t="s">
        <v>22</v>
      </c>
      <c r="AC24" s="39" t="s">
        <v>24</v>
      </c>
      <c r="AD24" s="39" t="s">
        <v>24</v>
      </c>
      <c r="AE24" s="39" t="s">
        <v>24</v>
      </c>
      <c r="AF24" s="39" t="s">
        <v>24</v>
      </c>
      <c r="AG24" s="39" t="s">
        <v>25</v>
      </c>
      <c r="AH24" s="39" t="s">
        <v>25</v>
      </c>
      <c r="AI24" s="18">
        <v>22.0</v>
      </c>
      <c r="AJ24" s="18">
        <v>25.0</v>
      </c>
      <c r="AK24" s="18">
        <v>6.0</v>
      </c>
      <c r="AL24" s="18">
        <v>3.0</v>
      </c>
      <c r="AM24" s="18">
        <v>0.0</v>
      </c>
      <c r="AN24" s="18">
        <f t="shared" si="7"/>
        <v>6.0</v>
      </c>
      <c r="AO24" s="18">
        <v>0.0</v>
      </c>
      <c r="AP24" s="18">
        <v>0.0</v>
      </c>
      <c r="AQ24" s="18">
        <v>5.0</v>
      </c>
      <c r="AR24" s="18">
        <v>0.0</v>
      </c>
      <c r="AS24" s="18">
        <f t="shared" si="10"/>
        <v>5.0</v>
      </c>
      <c r="AT24" s="10">
        <f t="shared" si="0"/>
        <v>6.0</v>
      </c>
      <c r="AU24" s="10">
        <f t="shared" si="1"/>
        <v>0.0</v>
      </c>
      <c r="AV24" s="10">
        <f t="shared" si="2"/>
        <v>12.0</v>
      </c>
      <c r="AW24" s="10">
        <f t="shared" si="3"/>
        <v>13.0</v>
      </c>
      <c r="AX24" s="10">
        <f t="shared" si="4"/>
        <v>0.0</v>
      </c>
      <c r="AY24" s="10">
        <f t="shared" si="5"/>
        <v>0.0</v>
      </c>
      <c r="AZ24" s="10">
        <f t="shared" si="6"/>
        <v>25.0</v>
      </c>
    </row>
    <row r="25" spans="8:8" ht="50.0" customHeight="1">
      <c r="A25" s="40" t="s">
        <v>57</v>
      </c>
      <c r="B25" s="41"/>
      <c r="C25" s="40"/>
      <c r="D25" s="42"/>
      <c r="E25" s="42"/>
      <c r="F25" s="42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3"/>
      <c r="AT25" s="10">
        <f t="shared" si="0"/>
        <v>0.0</v>
      </c>
      <c r="AU25" s="10">
        <f t="shared" si="1"/>
        <v>0.0</v>
      </c>
      <c r="AV25" s="10">
        <f t="shared" si="2"/>
        <v>0.0</v>
      </c>
      <c r="AW25" s="10">
        <f t="shared" si="3"/>
        <v>0.0</v>
      </c>
      <c r="AX25" s="10">
        <f t="shared" si="4"/>
        <v>0.0</v>
      </c>
      <c r="AY25" s="10">
        <f t="shared" si="5"/>
        <v>0.0</v>
      </c>
      <c r="AZ25" s="10">
        <f t="shared" si="6"/>
        <v>0.0</v>
      </c>
    </row>
    <row r="26" spans="8:8" ht="27.0" customHeight="1">
      <c r="A26" s="9" t="s">
        <v>58</v>
      </c>
      <c r="B26" s="9"/>
      <c r="C26" s="9"/>
      <c r="D26" s="44"/>
      <c r="E26" s="44"/>
      <c r="F26" s="4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12"/>
      <c r="AT26" s="10">
        <f t="shared" si="0"/>
        <v>0.0</v>
      </c>
      <c r="AU26" s="10">
        <f t="shared" si="1"/>
        <v>0.0</v>
      </c>
      <c r="AV26" s="10">
        <f t="shared" si="2"/>
        <v>0.0</v>
      </c>
      <c r="AW26" s="10">
        <f t="shared" si="3"/>
        <v>0.0</v>
      </c>
      <c r="AX26" s="10">
        <f t="shared" si="4"/>
        <v>0.0</v>
      </c>
      <c r="AY26" s="10">
        <f t="shared" si="5"/>
        <v>0.0</v>
      </c>
      <c r="AZ26" s="10">
        <f t="shared" si="6"/>
        <v>0.0</v>
      </c>
    </row>
    <row r="27" spans="8:8" ht="39.0" customHeight="1">
      <c r="A27" s="40" t="s">
        <v>59</v>
      </c>
      <c r="B27" s="40"/>
      <c r="C27" s="40"/>
      <c r="D27" s="45"/>
      <c r="E27" s="45"/>
      <c r="F27" s="45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10">
        <f t="shared" si="0"/>
        <v>0.0</v>
      </c>
      <c r="AU27" s="10">
        <f t="shared" si="1"/>
        <v>0.0</v>
      </c>
      <c r="AV27" s="10">
        <f t="shared" si="2"/>
        <v>0.0</v>
      </c>
      <c r="AW27" s="10">
        <f t="shared" si="3"/>
        <v>0.0</v>
      </c>
      <c r="AX27" s="10">
        <f t="shared" si="4"/>
        <v>0.0</v>
      </c>
      <c r="AY27" s="10">
        <f t="shared" si="5"/>
        <v>0.0</v>
      </c>
      <c r="AZ27" s="10">
        <f t="shared" si="6"/>
        <v>0.0</v>
      </c>
    </row>
    <row r="28" spans="8:8" ht="27.0" customHeight="1">
      <c r="A28" s="40" t="s">
        <v>60</v>
      </c>
      <c r="B28" s="40"/>
      <c r="C28" s="40"/>
      <c r="D28" s="45"/>
      <c r="E28" s="45"/>
      <c r="F28" s="45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6"/>
      <c r="AT28" s="10">
        <f t="shared" si="0"/>
        <v>0.0</v>
      </c>
      <c r="AU28" s="10">
        <f t="shared" si="1"/>
        <v>0.0</v>
      </c>
      <c r="AV28" s="10">
        <f t="shared" si="2"/>
        <v>0.0</v>
      </c>
      <c r="AW28" s="10">
        <f t="shared" si="3"/>
        <v>0.0</v>
      </c>
      <c r="AX28" s="10">
        <f t="shared" si="4"/>
        <v>0.0</v>
      </c>
      <c r="AY28" s="10">
        <f t="shared" si="5"/>
        <v>0.0</v>
      </c>
      <c r="AZ28" s="10">
        <f t="shared" si="6"/>
        <v>0.0</v>
      </c>
    </row>
  </sheetData>
  <autoFilter ref="A3:AZ28">
    <filterColumn colId="0" showButton="1"/>
  </autoFilter>
  <mergeCells count="19">
    <mergeCell ref="A1:AS1"/>
    <mergeCell ref="A25:AS25"/>
    <mergeCell ref="A26:AS26"/>
    <mergeCell ref="A27:AS27"/>
    <mergeCell ref="A28:AS28"/>
    <mergeCell ref="A2:A3"/>
    <mergeCell ref="AM2:AM3"/>
    <mergeCell ref="AK2:AK3"/>
    <mergeCell ref="AI2:AI3"/>
    <mergeCell ref="B2:B3"/>
    <mergeCell ref="AQ2:AQ3"/>
    <mergeCell ref="AO2:AO3"/>
    <mergeCell ref="AL2:AL3"/>
    <mergeCell ref="AR2:AR3"/>
    <mergeCell ref="C2:C3"/>
    <mergeCell ref="AP2:AP3"/>
    <mergeCell ref="AJ2:AJ3"/>
    <mergeCell ref="AN2:AN3"/>
    <mergeCell ref="AS2:AS3"/>
  </mergeCells>
  <conditionalFormatting sqref="D23">
    <cfRule type="cellIs" operator="equal" priority="6" dxfId="0">
      <formula>$E$12</formula>
    </cfRule>
    <cfRule type="colorScale" priority="7">
      <colorScale>
        <cfvo type="min"/>
        <cfvo type="percentile" val="50.0"/>
        <cfvo type="max"/>
        <color rgb="FFF8696B"/>
        <color rgb="FFFFEB84"/>
        <color rgb="FF63BE7B"/>
      </colorScale>
    </cfRule>
    <cfRule type="cellIs" operator="equal" priority="4">
      <formula>D24</formula>
    </cfRule>
  </conditionalFormatting>
  <conditionalFormatting sqref="D24">
    <cfRule type="cellIs" operator="equal" priority="5" dxfId="1">
      <formula>$E$11</formula>
    </cfRule>
  </conditionalFormatting>
  <conditionalFormatting sqref="D24:G24 J24:M24 O24:T24 W24:AA24 AC24:AH24">
    <cfRule type="cellIs" operator="equal" priority="1" dxfId="2">
      <formula>D23</formula>
    </cfRule>
  </conditionalFormatting>
  <conditionalFormatting sqref="D23:F23 H23:N23 P23:R23 T23:Z23 AB23:AE23 AH23">
    <cfRule type="cellIs" operator="equal" priority="2" dxfId="3">
      <formula>D24</formula>
    </cfRule>
    <cfRule type="cellIs" operator="equal" priority="3">
      <formula>D24</formula>
    </cfRule>
  </conditionalFormatting>
  <printOptions horizontalCentered="1"/>
  <pageMargins left="0.251388888888889" right="0.251388888888889" top="0.751388888888889" bottom="0.751388888888889" header="0.298611111111111" footer="0.298611111111111"/>
  <pageSetup paperSize="9" scale="56" orientation="landscape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16"/>
  <sheetViews>
    <sheetView workbookViewId="0">
      <selection activeCell="S7" sqref="S7"/>
    </sheetView>
  </sheetViews>
  <sheetFormatPr defaultRowHeight="24.95" customHeight="1" defaultColWidth="9"/>
  <cols>
    <col min="1" max="1" customWidth="1" width="3.6328125" style="47"/>
    <col min="2" max="3" customWidth="1" width="10.375" style="48"/>
    <col min="4" max="4" customWidth="1" width="10.375" style="49"/>
    <col min="5" max="35" customWidth="1" width="3.625" style="47"/>
    <col min="36" max="16362" customWidth="0" width="9.0" style="47"/>
    <col min="16363" max="16363" customWidth="0" width="9.0" style="48"/>
    <col min="16364" max="16384" customWidth="0" width="9.0" style="47"/>
  </cols>
  <sheetData>
    <row r="1" spans="8:8" s="47" ht="35.0" customFormat="1" customHeight="1">
      <c r="A1" s="50" t="s">
        <v>61</v>
      </c>
      <c r="B1" s="4" t="s">
        <v>62</v>
      </c>
      <c r="C1" s="4"/>
      <c r="D1" s="5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spans="8:8" s="47" ht="21.95" customFormat="1" customHeight="1">
      <c r="A2" s="51" t="s">
        <v>63</v>
      </c>
      <c r="B2" s="52" t="s">
        <v>64</v>
      </c>
      <c r="C2" s="53" t="s">
        <v>2</v>
      </c>
      <c r="D2" s="52" t="s">
        <v>3</v>
      </c>
      <c r="E2" s="53">
        <v>1.0</v>
      </c>
      <c r="F2" s="53">
        <v>2.0</v>
      </c>
      <c r="G2" s="53">
        <v>3.0</v>
      </c>
      <c r="H2" s="53">
        <v>4.0</v>
      </c>
      <c r="I2" s="53">
        <v>5.0</v>
      </c>
      <c r="J2" s="53">
        <v>6.0</v>
      </c>
      <c r="K2" s="53">
        <v>7.0</v>
      </c>
      <c r="L2" s="53">
        <v>8.0</v>
      </c>
      <c r="M2" s="53">
        <v>9.0</v>
      </c>
      <c r="N2" s="53">
        <v>10.0</v>
      </c>
      <c r="O2" s="53">
        <v>11.0</v>
      </c>
      <c r="P2" s="53">
        <v>12.0</v>
      </c>
      <c r="Q2" s="53">
        <v>13.0</v>
      </c>
      <c r="R2" s="53">
        <v>14.0</v>
      </c>
      <c r="S2" s="53">
        <v>15.0</v>
      </c>
      <c r="T2" s="53">
        <v>16.0</v>
      </c>
      <c r="U2" s="53">
        <v>17.0</v>
      </c>
      <c r="V2" s="53">
        <v>18.0</v>
      </c>
      <c r="W2" s="53">
        <v>19.0</v>
      </c>
      <c r="X2" s="53">
        <v>20.0</v>
      </c>
      <c r="Y2" s="53">
        <v>21.0</v>
      </c>
      <c r="Z2" s="53">
        <v>22.0</v>
      </c>
      <c r="AA2" s="53">
        <v>23.0</v>
      </c>
      <c r="AB2" s="53">
        <v>24.0</v>
      </c>
      <c r="AC2" s="53">
        <v>25.0</v>
      </c>
      <c r="AD2" s="53">
        <v>26.0</v>
      </c>
      <c r="AE2" s="53">
        <v>27.0</v>
      </c>
      <c r="AF2" s="53">
        <v>28.0</v>
      </c>
      <c r="AG2" s="53">
        <v>29.0</v>
      </c>
      <c r="AH2" s="53">
        <v>30.0</v>
      </c>
      <c r="AI2" s="53">
        <v>31.0</v>
      </c>
    </row>
    <row r="3" spans="8:8" s="47" ht="21.95" customFormat="1" customHeight="1">
      <c r="A3" s="51"/>
      <c r="B3" s="52"/>
      <c r="C3" s="53"/>
      <c r="D3" s="52"/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15</v>
      </c>
      <c r="T3" s="10" t="s">
        <v>16</v>
      </c>
      <c r="U3" s="10" t="s">
        <v>17</v>
      </c>
      <c r="V3" s="10" t="s">
        <v>18</v>
      </c>
      <c r="W3" s="10" t="s">
        <v>19</v>
      </c>
      <c r="X3" s="10" t="s">
        <v>20</v>
      </c>
      <c r="Y3" s="10" t="s">
        <v>21</v>
      </c>
      <c r="Z3" s="10" t="s">
        <v>15</v>
      </c>
      <c r="AA3" s="10" t="s">
        <v>16</v>
      </c>
      <c r="AB3" s="10" t="s">
        <v>17</v>
      </c>
      <c r="AC3" s="10" t="s">
        <v>18</v>
      </c>
      <c r="AD3" s="10" t="s">
        <v>19</v>
      </c>
      <c r="AE3" s="10" t="s">
        <v>20</v>
      </c>
      <c r="AF3" s="10" t="s">
        <v>21</v>
      </c>
      <c r="AG3" s="10" t="s">
        <v>15</v>
      </c>
      <c r="AH3" s="10" t="s">
        <v>16</v>
      </c>
      <c r="AI3" s="10" t="s">
        <v>17</v>
      </c>
    </row>
    <row r="4" spans="8:8" s="47" ht="33.0" customFormat="1" customHeight="1">
      <c r="A4" s="51">
        <v>1.0</v>
      </c>
      <c r="B4" s="52" t="s">
        <v>65</v>
      </c>
      <c r="C4" s="10" t="s">
        <v>29</v>
      </c>
      <c r="D4" s="54" t="s">
        <v>30</v>
      </c>
      <c r="E4" s="55"/>
      <c r="F4" s="13"/>
      <c r="G4" s="13"/>
      <c r="H4" s="55"/>
      <c r="I4" s="13"/>
      <c r="J4" s="13"/>
      <c r="K4" s="13"/>
      <c r="L4" s="13"/>
      <c r="M4" s="13"/>
      <c r="N4" s="55"/>
      <c r="O4" s="55" t="s">
        <v>27</v>
      </c>
      <c r="P4" s="13"/>
      <c r="Q4" s="13"/>
      <c r="R4" s="13"/>
      <c r="S4" s="13"/>
      <c r="T4" s="13"/>
      <c r="U4" s="13"/>
      <c r="V4" s="55" t="s">
        <v>27</v>
      </c>
      <c r="W4" s="13"/>
      <c r="X4" s="13"/>
      <c r="Y4" s="13"/>
      <c r="Z4" s="13"/>
      <c r="AA4" s="55"/>
      <c r="AB4" s="13"/>
      <c r="AC4" s="55" t="s">
        <v>27</v>
      </c>
      <c r="AD4" s="55"/>
      <c r="AE4" s="55"/>
      <c r="AF4" s="55"/>
      <c r="AG4" s="55"/>
      <c r="AH4" s="13"/>
      <c r="AI4" s="13"/>
    </row>
    <row r="5" spans="8:8" s="47" ht="33.0" customFormat="1" customHeight="1">
      <c r="A5" s="51">
        <v>2.0</v>
      </c>
      <c r="B5" s="52" t="s">
        <v>65</v>
      </c>
      <c r="C5" s="13" t="s">
        <v>31</v>
      </c>
      <c r="D5" s="56" t="s">
        <v>32</v>
      </c>
      <c r="E5" s="55"/>
      <c r="F5" s="57"/>
      <c r="G5" s="57"/>
      <c r="H5" s="19"/>
      <c r="I5" s="57"/>
      <c r="J5" s="55"/>
      <c r="K5" s="55"/>
      <c r="L5" s="55" t="s">
        <v>27</v>
      </c>
      <c r="M5" s="57"/>
      <c r="N5" s="57"/>
      <c r="O5" s="55"/>
      <c r="P5" s="57"/>
      <c r="Q5" s="57"/>
      <c r="R5" s="57"/>
      <c r="S5" s="19"/>
      <c r="T5" s="55" t="s">
        <v>27</v>
      </c>
      <c r="U5" s="55"/>
      <c r="V5" s="57"/>
      <c r="W5" s="57"/>
      <c r="X5" s="55"/>
      <c r="Y5" s="55"/>
      <c r="Z5" s="19"/>
      <c r="AA5" s="57"/>
      <c r="AB5" s="57"/>
      <c r="AC5" s="55"/>
      <c r="AD5" s="57"/>
      <c r="AE5" s="55"/>
      <c r="AF5" s="57"/>
      <c r="AG5" s="57"/>
      <c r="AH5" s="55" t="s">
        <v>27</v>
      </c>
      <c r="AI5" s="57"/>
    </row>
    <row r="6" spans="8:8" s="47" ht="33.0" customFormat="1" customHeight="1">
      <c r="A6" s="51">
        <v>3.0</v>
      </c>
      <c r="B6" s="52" t="s">
        <v>66</v>
      </c>
      <c r="C6" s="13" t="s">
        <v>67</v>
      </c>
      <c r="D6" s="56" t="s">
        <v>32</v>
      </c>
      <c r="E6" s="13"/>
      <c r="F6" s="55"/>
      <c r="G6" s="55"/>
      <c r="H6" s="13"/>
      <c r="I6" s="13"/>
      <c r="J6" s="19"/>
      <c r="K6" s="13"/>
      <c r="L6" s="55"/>
      <c r="M6" s="13"/>
      <c r="N6" s="13"/>
      <c r="O6" s="55"/>
      <c r="P6" s="55"/>
      <c r="Q6" s="13"/>
      <c r="R6" s="57"/>
      <c r="S6" s="55" t="s">
        <v>27</v>
      </c>
      <c r="T6" s="13"/>
      <c r="U6" s="55"/>
      <c r="V6" s="55"/>
      <c r="W6" s="55"/>
      <c r="X6" s="13"/>
      <c r="Y6" s="13"/>
      <c r="Z6" s="55" t="s">
        <v>27</v>
      </c>
      <c r="AA6" s="13"/>
      <c r="AB6" s="51"/>
      <c r="AC6" s="58"/>
      <c r="AD6" s="19"/>
      <c r="AE6" s="13"/>
      <c r="AF6" s="55"/>
      <c r="AG6" s="55" t="s">
        <v>27</v>
      </c>
      <c r="AH6" s="55"/>
      <c r="AI6" s="19"/>
    </row>
    <row r="7" spans="8:8" s="47" ht="33.0" customFormat="1" customHeight="1">
      <c r="A7" s="51">
        <v>4.0</v>
      </c>
      <c r="B7" s="52" t="s">
        <v>65</v>
      </c>
      <c r="C7" s="13" t="s">
        <v>33</v>
      </c>
      <c r="D7" s="59" t="s">
        <v>34</v>
      </c>
      <c r="E7" s="55"/>
      <c r="F7" s="55"/>
      <c r="G7" s="55"/>
      <c r="H7" s="55"/>
      <c r="I7" s="55"/>
      <c r="J7" s="19"/>
      <c r="K7" s="55"/>
      <c r="L7" s="55"/>
      <c r="M7" s="55"/>
      <c r="N7" s="57"/>
      <c r="O7" s="57"/>
      <c r="P7" s="21" t="s">
        <v>27</v>
      </c>
      <c r="Q7" s="22" t="s">
        <v>27</v>
      </c>
      <c r="R7" s="22" t="s">
        <v>27</v>
      </c>
      <c r="S7" s="55"/>
      <c r="T7" s="55"/>
      <c r="U7" s="19" t="s">
        <v>27</v>
      </c>
      <c r="V7" s="19"/>
      <c r="W7" s="57"/>
      <c r="X7" s="57"/>
      <c r="Y7" s="55"/>
      <c r="Z7" s="55"/>
      <c r="AA7" s="55"/>
      <c r="AB7" s="55"/>
      <c r="AC7" s="55"/>
      <c r="AD7" s="55"/>
      <c r="AE7" s="19"/>
      <c r="AF7" s="19"/>
      <c r="AG7" s="19"/>
      <c r="AH7" s="19"/>
      <c r="AI7" s="19" t="s">
        <v>27</v>
      </c>
    </row>
    <row r="8" spans="8:8" s="47" ht="33.0" customFormat="1" customHeight="1">
      <c r="A8" s="51">
        <v>5.0</v>
      </c>
      <c r="B8" s="52" t="s">
        <v>65</v>
      </c>
      <c r="C8" s="13" t="s">
        <v>35</v>
      </c>
      <c r="D8" s="60" t="s">
        <v>34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5"/>
      <c r="S8" s="55"/>
      <c r="T8" s="55"/>
      <c r="U8" s="55"/>
      <c r="V8" s="55"/>
      <c r="W8" s="21" t="s">
        <v>27</v>
      </c>
      <c r="X8" s="22" t="s">
        <v>27</v>
      </c>
      <c r="Y8" s="22" t="s">
        <v>27</v>
      </c>
      <c r="Z8" s="55"/>
      <c r="AA8" s="55"/>
      <c r="AB8" s="55"/>
      <c r="AC8" s="19"/>
      <c r="AD8" s="21" t="s">
        <v>27</v>
      </c>
      <c r="AE8" s="22" t="s">
        <v>27</v>
      </c>
      <c r="AF8" s="22" t="s">
        <v>27</v>
      </c>
      <c r="AG8" s="55"/>
      <c r="AH8" s="55"/>
      <c r="AI8" s="55"/>
    </row>
    <row r="9" spans="8:8" s="47" ht="33.0" customFormat="1" customHeight="1">
      <c r="A9" s="51">
        <v>6.0</v>
      </c>
      <c r="B9" s="52" t="s">
        <v>65</v>
      </c>
      <c r="C9" s="13" t="s">
        <v>36</v>
      </c>
      <c r="D9" s="60" t="s">
        <v>37</v>
      </c>
      <c r="E9" s="21" t="s">
        <v>27</v>
      </c>
      <c r="F9" s="22" t="s">
        <v>27</v>
      </c>
      <c r="G9" s="22" t="s">
        <v>27</v>
      </c>
      <c r="H9" s="55"/>
      <c r="I9" s="55"/>
      <c r="J9" s="55"/>
      <c r="K9" s="55"/>
      <c r="L9" s="55"/>
      <c r="M9" s="55"/>
      <c r="N9" s="55"/>
      <c r="O9" s="55"/>
      <c r="P9" s="57"/>
      <c r="Q9" s="19"/>
      <c r="R9" s="19"/>
      <c r="S9" s="57"/>
      <c r="T9" s="57"/>
      <c r="U9" s="57"/>
      <c r="V9" s="55"/>
      <c r="W9" s="55"/>
      <c r="X9" s="57"/>
      <c r="Y9" s="55"/>
      <c r="Z9" s="57"/>
      <c r="AA9" s="21" t="s">
        <v>27</v>
      </c>
      <c r="AB9" s="22" t="s">
        <v>27</v>
      </c>
      <c r="AC9" s="55"/>
      <c r="AD9" s="55"/>
      <c r="AE9" s="55"/>
      <c r="AF9" s="55"/>
      <c r="AG9" s="55"/>
      <c r="AH9" s="55"/>
      <c r="AI9" s="55"/>
    </row>
    <row r="10" spans="8:8" s="47" ht="33.0" customFormat="1" customHeight="1">
      <c r="A10" s="51">
        <v>7.0</v>
      </c>
      <c r="B10" s="52" t="s">
        <v>65</v>
      </c>
      <c r="C10" s="13" t="s">
        <v>47</v>
      </c>
      <c r="D10" s="60" t="s">
        <v>37</v>
      </c>
      <c r="E10" s="57"/>
      <c r="F10" s="57"/>
      <c r="G10" s="57"/>
      <c r="H10" s="21" t="s">
        <v>27</v>
      </c>
      <c r="I10" s="22" t="s">
        <v>27</v>
      </c>
      <c r="J10" s="22" t="s">
        <v>27</v>
      </c>
      <c r="K10" s="22" t="s">
        <v>27</v>
      </c>
      <c r="L10" s="22"/>
      <c r="M10" s="21" t="s">
        <v>27</v>
      </c>
      <c r="N10" s="22" t="s">
        <v>27</v>
      </c>
      <c r="O10" s="61"/>
      <c r="P10" s="61"/>
      <c r="Q10" s="61"/>
      <c r="R10" s="61"/>
      <c r="S10" s="61"/>
      <c r="T10" s="61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</row>
    <row r="11" spans="8:8" s="47" ht="27.0" customFormat="1" customHeight="1">
      <c r="A11" s="62" t="s">
        <v>68</v>
      </c>
      <c r="B11" s="63">
        <v>8.0</v>
      </c>
      <c r="C11" s="64"/>
      <c r="D11" s="64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</row>
    <row r="12" spans="8:8" s="47" ht="27.0" customFormat="1" customHeight="1">
      <c r="A12" s="65" t="s">
        <v>69</v>
      </c>
      <c r="B12" s="52" t="s">
        <v>70</v>
      </c>
      <c r="C12" s="53"/>
      <c r="D12" s="52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</row>
    <row r="13" spans="8:8" s="47" ht="27.0" customFormat="1" customHeight="1">
      <c r="A13" s="66" t="s">
        <v>71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8:8" s="47" ht="45.0" customFormat="1" customHeight="1"/>
    <row r="15" spans="8:8" s="47" ht="24.95" customFormat="1" customHeight="1"/>
    <row r="16" spans="8:8" ht="24.95" customHeight="1">
      <c r="B16" s="47"/>
    </row>
  </sheetData>
  <mergeCells count="8">
    <mergeCell ref="A1:AI1"/>
    <mergeCell ref="A11:AI11"/>
    <mergeCell ref="A12:AI12"/>
    <mergeCell ref="A13:AI13"/>
    <mergeCell ref="A2:A3"/>
    <mergeCell ref="B2:B3"/>
    <mergeCell ref="C2:C3"/>
    <mergeCell ref="D2:D3"/>
  </mergeCells>
  <printOptions horizontalCentered="1"/>
  <pageMargins left="0.251388888888889" right="0.251388888888889" top="0.751388888888889" bottom="0.751388888888889" header="0.298611111111111" footer="0.298611111111111"/>
  <pageSetup paperSize="9" scale="99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ELI-AN00</dc:creator>
  <cp:lastModifiedBy>郭晓杰</cp:lastModifiedBy>
  <dcterms:created xsi:type="dcterms:W3CDTF">2024-02-27T17:37:00Z</dcterms:created>
  <dcterms:modified xsi:type="dcterms:W3CDTF">2026-10-08T07:43:32Z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ICV">
    <vt:lpwstr>EB9C48C4F7EF4E6595733B0D51B414DF_13</vt:lpwstr>
  </property>
  <property fmtid="{D5CDD505-2E9C-101B-9397-08002B2CF9AE}" pid="5" name="KSOProductBuildVer">
    <vt:lpwstr>2052-12.1.0.28488</vt:lpwstr>
  </property>
</Properties>
</file>